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515ca5f17cae027/Desktop/محمد عمر الخزندار/FInal Project (dissertation)/final submission draft/Appendix/"/>
    </mc:Choice>
  </mc:AlternateContent>
  <xr:revisionPtr revIDLastSave="3" documentId="11_925F48367D9E166D7F09B90F83C0C374746041FF" xr6:coauthVersionLast="47" xr6:coauthVersionMax="47" xr10:uidLastSave="{256FA58B-A851-446E-A348-A7540B424897}"/>
  <bookViews>
    <workbookView xWindow="-108" yWindow="-108" windowWidth="23256" windowHeight="12456" tabRatio="500" activeTab="1" xr2:uid="{00000000-000D-0000-FFFF-FFFF00000000}"/>
  </bookViews>
  <sheets>
    <sheet name="Parameters" sheetId="1" r:id="rId1"/>
    <sheet name="Ord1_8A-2B-7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5" i="3" l="1"/>
  <c r="G105" i="3"/>
  <c r="F105" i="3"/>
  <c r="E105" i="3"/>
  <c r="D105" i="3"/>
  <c r="G104" i="3"/>
  <c r="F104" i="3"/>
  <c r="E104" i="3"/>
  <c r="D104" i="3"/>
  <c r="G103" i="3"/>
  <c r="F103" i="3"/>
  <c r="E103" i="3"/>
  <c r="D103" i="3"/>
  <c r="G102" i="3"/>
  <c r="F102" i="3"/>
  <c r="E102" i="3"/>
  <c r="D102" i="3"/>
  <c r="G101" i="3"/>
  <c r="F101" i="3"/>
  <c r="E101" i="3"/>
  <c r="D101" i="3"/>
  <c r="G100" i="3"/>
  <c r="F100" i="3"/>
  <c r="E100" i="3"/>
  <c r="D100" i="3"/>
  <c r="G99" i="3"/>
  <c r="F99" i="3"/>
  <c r="E99" i="3"/>
  <c r="D99" i="3"/>
  <c r="G98" i="3"/>
  <c r="F98" i="3"/>
  <c r="E98" i="3"/>
  <c r="D98" i="3"/>
  <c r="G97" i="3"/>
  <c r="F97" i="3"/>
  <c r="E97" i="3"/>
  <c r="D97" i="3"/>
  <c r="G96" i="3"/>
  <c r="F96" i="3"/>
  <c r="E96" i="3"/>
  <c r="D96" i="3"/>
  <c r="G95" i="3"/>
  <c r="F95" i="3"/>
  <c r="E95" i="3"/>
  <c r="D95" i="3"/>
  <c r="G94" i="3"/>
  <c r="F94" i="3"/>
  <c r="E94" i="3"/>
  <c r="D94" i="3"/>
  <c r="G93" i="3"/>
  <c r="F93" i="3"/>
  <c r="E93" i="3"/>
  <c r="D93" i="3"/>
  <c r="G92" i="3"/>
  <c r="F92" i="3"/>
  <c r="E92" i="3"/>
  <c r="D92" i="3"/>
  <c r="G91" i="3"/>
  <c r="F91" i="3"/>
  <c r="E91" i="3"/>
  <c r="D91" i="3"/>
  <c r="G90" i="3"/>
  <c r="F90" i="3"/>
  <c r="E90" i="3"/>
  <c r="D90" i="3"/>
  <c r="G89" i="3"/>
  <c r="F89" i="3"/>
  <c r="E89" i="3"/>
  <c r="D89" i="3"/>
  <c r="G88" i="3"/>
  <c r="F88" i="3"/>
  <c r="E88" i="3"/>
  <c r="D88" i="3"/>
  <c r="G87" i="3"/>
  <c r="F87" i="3"/>
  <c r="E87" i="3"/>
  <c r="D87" i="3"/>
  <c r="G86" i="3"/>
  <c r="F86" i="3"/>
  <c r="E86" i="3"/>
  <c r="D86" i="3"/>
  <c r="G85" i="3"/>
  <c r="F85" i="3"/>
  <c r="E85" i="3"/>
  <c r="D85" i="3"/>
  <c r="G84" i="3"/>
  <c r="F84" i="3"/>
  <c r="E84" i="3"/>
  <c r="D84" i="3"/>
  <c r="G83" i="3"/>
  <c r="F83" i="3"/>
  <c r="E83" i="3"/>
  <c r="D83" i="3"/>
  <c r="G82" i="3"/>
  <c r="F82" i="3"/>
  <c r="E82" i="3"/>
  <c r="D82" i="3"/>
  <c r="G81" i="3"/>
  <c r="F81" i="3"/>
  <c r="E81" i="3"/>
  <c r="D81" i="3"/>
  <c r="G80" i="3"/>
  <c r="F80" i="3"/>
  <c r="E80" i="3"/>
  <c r="D80" i="3"/>
  <c r="G79" i="3"/>
  <c r="F79" i="3"/>
  <c r="E79" i="3"/>
  <c r="D79" i="3"/>
  <c r="G78" i="3"/>
  <c r="F78" i="3"/>
  <c r="E78" i="3"/>
  <c r="D78" i="3"/>
  <c r="G77" i="3"/>
  <c r="F77" i="3"/>
  <c r="E77" i="3"/>
  <c r="D77" i="3"/>
  <c r="G76" i="3"/>
  <c r="F76" i="3"/>
  <c r="E76" i="3"/>
  <c r="D76" i="3"/>
  <c r="G75" i="3"/>
  <c r="F75" i="3"/>
  <c r="E75" i="3"/>
  <c r="D75" i="3"/>
  <c r="G74" i="3"/>
  <c r="F74" i="3"/>
  <c r="E74" i="3"/>
  <c r="D74" i="3"/>
  <c r="G73" i="3"/>
  <c r="F73" i="3"/>
  <c r="E73" i="3"/>
  <c r="D73" i="3"/>
  <c r="G72" i="3"/>
  <c r="F72" i="3"/>
  <c r="E72" i="3"/>
  <c r="D72" i="3"/>
  <c r="G71" i="3"/>
  <c r="F71" i="3"/>
  <c r="E71" i="3"/>
  <c r="D71" i="3"/>
  <c r="G70" i="3"/>
  <c r="F70" i="3"/>
  <c r="E70" i="3"/>
  <c r="D70" i="3"/>
  <c r="G69" i="3"/>
  <c r="F69" i="3"/>
  <c r="E69" i="3"/>
  <c r="D69" i="3"/>
  <c r="G68" i="3"/>
  <c r="F68" i="3"/>
  <c r="E68" i="3"/>
  <c r="D68" i="3"/>
  <c r="G67" i="3"/>
  <c r="F67" i="3"/>
  <c r="E67" i="3"/>
  <c r="D67" i="3"/>
  <c r="G66" i="3"/>
  <c r="F66" i="3"/>
  <c r="E66" i="3"/>
  <c r="D66" i="3"/>
  <c r="G65" i="3"/>
  <c r="F65" i="3"/>
  <c r="E65" i="3"/>
  <c r="D65" i="3"/>
  <c r="G64" i="3"/>
  <c r="F64" i="3"/>
  <c r="E64" i="3"/>
  <c r="D64" i="3"/>
  <c r="G63" i="3"/>
  <c r="F63" i="3"/>
  <c r="E63" i="3"/>
  <c r="D63" i="3"/>
  <c r="G62" i="3"/>
  <c r="F62" i="3"/>
  <c r="E62" i="3"/>
  <c r="D62" i="3"/>
  <c r="G61" i="3"/>
  <c r="F61" i="3"/>
  <c r="E61" i="3"/>
  <c r="D61" i="3"/>
  <c r="G60" i="3"/>
  <c r="F60" i="3"/>
  <c r="E60" i="3"/>
  <c r="D60" i="3"/>
  <c r="G59" i="3"/>
  <c r="F59" i="3"/>
  <c r="E59" i="3"/>
  <c r="D59" i="3"/>
  <c r="G58" i="3"/>
  <c r="F58" i="3"/>
  <c r="E58" i="3"/>
  <c r="D58" i="3"/>
  <c r="G57" i="3"/>
  <c r="F57" i="3"/>
  <c r="E57" i="3"/>
  <c r="D57" i="3"/>
  <c r="G56" i="3"/>
  <c r="F56" i="3"/>
  <c r="E56" i="3"/>
  <c r="D56" i="3"/>
  <c r="G55" i="3"/>
  <c r="F55" i="3"/>
  <c r="E55" i="3"/>
  <c r="D55" i="3"/>
  <c r="G54" i="3"/>
  <c r="F54" i="3"/>
  <c r="E54" i="3"/>
  <c r="D54" i="3"/>
  <c r="G53" i="3"/>
  <c r="F53" i="3"/>
  <c r="E53" i="3"/>
  <c r="D53" i="3"/>
  <c r="G52" i="3"/>
  <c r="F52" i="3"/>
  <c r="E52" i="3"/>
  <c r="D52" i="3"/>
  <c r="G51" i="3"/>
  <c r="F51" i="3"/>
  <c r="E51" i="3"/>
  <c r="D51" i="3"/>
  <c r="G50" i="3"/>
  <c r="F50" i="3"/>
  <c r="E50" i="3"/>
  <c r="D50" i="3"/>
  <c r="G49" i="3"/>
  <c r="F49" i="3"/>
  <c r="E49" i="3"/>
  <c r="D49" i="3"/>
  <c r="G48" i="3"/>
  <c r="F48" i="3"/>
  <c r="E48" i="3"/>
  <c r="D48" i="3"/>
  <c r="G47" i="3"/>
  <c r="F47" i="3"/>
  <c r="E47" i="3"/>
  <c r="D47" i="3"/>
  <c r="G46" i="3"/>
  <c r="F46" i="3"/>
  <c r="E46" i="3"/>
  <c r="D46" i="3"/>
  <c r="G45" i="3"/>
  <c r="F45" i="3"/>
  <c r="E45" i="3"/>
  <c r="D45" i="3"/>
  <c r="G44" i="3"/>
  <c r="F44" i="3"/>
  <c r="E44" i="3"/>
  <c r="D44" i="3"/>
  <c r="G43" i="3"/>
  <c r="F43" i="3"/>
  <c r="E43" i="3"/>
  <c r="D43" i="3"/>
  <c r="G42" i="3"/>
  <c r="F42" i="3"/>
  <c r="E42" i="3"/>
  <c r="D42" i="3"/>
  <c r="G41" i="3"/>
  <c r="F41" i="3"/>
  <c r="E41" i="3"/>
  <c r="D41" i="3"/>
  <c r="G40" i="3"/>
  <c r="F40" i="3"/>
  <c r="E40" i="3"/>
  <c r="D40" i="3"/>
  <c r="G39" i="3"/>
  <c r="F39" i="3"/>
  <c r="E39" i="3"/>
  <c r="D39" i="3"/>
  <c r="G38" i="3"/>
  <c r="F38" i="3"/>
  <c r="E38" i="3"/>
  <c r="D38" i="3"/>
  <c r="G37" i="3"/>
  <c r="F37" i="3"/>
  <c r="E37" i="3"/>
  <c r="D37" i="3"/>
  <c r="G36" i="3"/>
  <c r="F36" i="3"/>
  <c r="E36" i="3"/>
  <c r="D36" i="3"/>
  <c r="G35" i="3"/>
  <c r="F35" i="3"/>
  <c r="E35" i="3"/>
  <c r="D35" i="3"/>
  <c r="G34" i="3"/>
  <c r="F34" i="3"/>
  <c r="E34" i="3"/>
  <c r="D34" i="3"/>
  <c r="G33" i="3"/>
  <c r="F33" i="3"/>
  <c r="E33" i="3"/>
  <c r="D33" i="3"/>
  <c r="G32" i="3"/>
  <c r="F32" i="3"/>
  <c r="E32" i="3"/>
  <c r="D32" i="3"/>
  <c r="G31" i="3"/>
  <c r="F31" i="3"/>
  <c r="E31" i="3"/>
  <c r="D31" i="3"/>
  <c r="G30" i="3"/>
  <c r="F30" i="3"/>
  <c r="E30" i="3"/>
  <c r="D30" i="3"/>
  <c r="G29" i="3"/>
  <c r="F29" i="3"/>
  <c r="E29" i="3"/>
  <c r="D29" i="3"/>
  <c r="G28" i="3"/>
  <c r="F28" i="3"/>
  <c r="E28" i="3"/>
  <c r="D28" i="3"/>
  <c r="G27" i="3"/>
  <c r="F27" i="3"/>
  <c r="E27" i="3"/>
  <c r="D27" i="3"/>
  <c r="G26" i="3"/>
  <c r="F26" i="3"/>
  <c r="E26" i="3"/>
  <c r="D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  <c r="H4" i="3" s="1"/>
  <c r="H5" i="3" l="1"/>
  <c r="H6" i="3" s="1"/>
  <c r="H7" i="3" s="1"/>
  <c r="I4" i="3"/>
  <c r="J4" i="3" s="1"/>
  <c r="K4" i="3" s="1"/>
  <c r="I5" i="3" l="1"/>
  <c r="H8" i="3"/>
  <c r="H9" i="3" l="1"/>
  <c r="J5" i="3"/>
  <c r="K5" i="3" s="1"/>
  <c r="I6" i="3"/>
  <c r="J6" i="3" l="1"/>
  <c r="K6" i="3" s="1"/>
  <c r="I7" i="3"/>
  <c r="H10" i="3"/>
  <c r="H11" i="3" l="1"/>
  <c r="J7" i="3"/>
  <c r="K7" i="3" s="1"/>
  <c r="I8" i="3"/>
  <c r="J8" i="3" l="1"/>
  <c r="K8" i="3" s="1"/>
  <c r="I9" i="3"/>
  <c r="H12" i="3"/>
  <c r="J9" i="3" l="1"/>
  <c r="K9" i="3" s="1"/>
  <c r="I10" i="3"/>
  <c r="H13" i="3"/>
  <c r="H14" i="3" l="1"/>
  <c r="J10" i="3"/>
  <c r="K10" i="3" s="1"/>
  <c r="I11" i="3"/>
  <c r="H15" i="3" l="1"/>
  <c r="J11" i="3"/>
  <c r="K11" i="3" s="1"/>
  <c r="I12" i="3"/>
  <c r="J12" i="3" l="1"/>
  <c r="K12" i="3" s="1"/>
  <c r="I13" i="3"/>
  <c r="H16" i="3"/>
  <c r="J13" i="3" l="1"/>
  <c r="K13" i="3" s="1"/>
  <c r="I14" i="3"/>
  <c r="H17" i="3"/>
  <c r="H18" i="3" l="1"/>
  <c r="J14" i="3"/>
  <c r="K14" i="3" s="1"/>
  <c r="I15" i="3"/>
  <c r="J15" i="3" l="1"/>
  <c r="K15" i="3" s="1"/>
  <c r="I16" i="3"/>
  <c r="H19" i="3"/>
  <c r="J16" i="3" l="1"/>
  <c r="K16" i="3" s="1"/>
  <c r="I17" i="3"/>
  <c r="H20" i="3"/>
  <c r="J17" i="3" l="1"/>
  <c r="K17" i="3" s="1"/>
  <c r="I18" i="3"/>
  <c r="H21" i="3"/>
  <c r="J18" i="3" l="1"/>
  <c r="K18" i="3" s="1"/>
  <c r="I19" i="3"/>
  <c r="H22" i="3"/>
  <c r="H23" i="3" l="1"/>
  <c r="J19" i="3"/>
  <c r="K19" i="3" s="1"/>
  <c r="I20" i="3"/>
  <c r="J20" i="3" l="1"/>
  <c r="K20" i="3" s="1"/>
  <c r="I21" i="3"/>
  <c r="H24" i="3"/>
  <c r="H25" i="3" l="1"/>
  <c r="J21" i="3"/>
  <c r="K21" i="3" s="1"/>
  <c r="I22" i="3"/>
  <c r="O9" i="3"/>
  <c r="N9" i="3"/>
  <c r="H26" i="3" l="1"/>
  <c r="J22" i="3"/>
  <c r="K22" i="3" s="1"/>
  <c r="I23" i="3"/>
  <c r="J23" i="3" l="1"/>
  <c r="K23" i="3" s="1"/>
  <c r="I24" i="3"/>
  <c r="H27" i="3"/>
  <c r="J24" i="3" l="1"/>
  <c r="K24" i="3" s="1"/>
  <c r="I25" i="3"/>
  <c r="H28" i="3"/>
  <c r="J25" i="3" l="1"/>
  <c r="K25" i="3" s="1"/>
  <c r="I26" i="3"/>
  <c r="H29" i="3"/>
  <c r="J26" i="3" l="1"/>
  <c r="K26" i="3" s="1"/>
  <c r="I27" i="3"/>
  <c r="H30" i="3"/>
  <c r="H31" i="3" l="1"/>
  <c r="J27" i="3"/>
  <c r="K27" i="3" s="1"/>
  <c r="I28" i="3"/>
  <c r="J28" i="3" l="1"/>
  <c r="K28" i="3" s="1"/>
  <c r="I29" i="3"/>
  <c r="H32" i="3"/>
  <c r="J29" i="3" l="1"/>
  <c r="K29" i="3" s="1"/>
  <c r="I30" i="3"/>
  <c r="H33" i="3"/>
  <c r="J30" i="3" l="1"/>
  <c r="K30" i="3" s="1"/>
  <c r="I31" i="3"/>
  <c r="H34" i="3"/>
  <c r="H35" i="3" l="1"/>
  <c r="J31" i="3"/>
  <c r="K31" i="3" s="1"/>
  <c r="I32" i="3"/>
  <c r="J32" i="3" l="1"/>
  <c r="K32" i="3" s="1"/>
  <c r="I33" i="3"/>
  <c r="H36" i="3"/>
  <c r="J33" i="3" l="1"/>
  <c r="K33" i="3" s="1"/>
  <c r="I34" i="3"/>
  <c r="H37" i="3"/>
  <c r="H38" i="3" l="1"/>
  <c r="J34" i="3"/>
  <c r="K34" i="3" s="1"/>
  <c r="I35" i="3"/>
  <c r="J35" i="3" l="1"/>
  <c r="K35" i="3" s="1"/>
  <c r="I36" i="3"/>
  <c r="H39" i="3"/>
  <c r="J36" i="3" l="1"/>
  <c r="K36" i="3" s="1"/>
  <c r="I37" i="3"/>
  <c r="H40" i="3"/>
  <c r="H41" i="3" l="1"/>
  <c r="J37" i="3"/>
  <c r="K37" i="3" s="1"/>
  <c r="I38" i="3"/>
  <c r="J38" i="3" l="1"/>
  <c r="K38" i="3" s="1"/>
  <c r="I39" i="3"/>
  <c r="O10" i="3"/>
  <c r="N10" i="3"/>
  <c r="H42" i="3"/>
  <c r="J39" i="3" l="1"/>
  <c r="K39" i="3" s="1"/>
  <c r="I40" i="3"/>
  <c r="H43" i="3"/>
  <c r="J40" i="3" l="1"/>
  <c r="K40" i="3" s="1"/>
  <c r="I41" i="3"/>
  <c r="H44" i="3"/>
  <c r="H45" i="3" l="1"/>
  <c r="J41" i="3"/>
  <c r="K41" i="3" s="1"/>
  <c r="I42" i="3"/>
  <c r="J42" i="3" l="1"/>
  <c r="K42" i="3" s="1"/>
  <c r="I43" i="3"/>
  <c r="H46" i="3"/>
  <c r="J43" i="3" l="1"/>
  <c r="K43" i="3" s="1"/>
  <c r="I44" i="3"/>
  <c r="H47" i="3"/>
  <c r="H48" i="3" l="1"/>
  <c r="J44" i="3"/>
  <c r="K44" i="3" s="1"/>
  <c r="I45" i="3"/>
  <c r="J45" i="3" l="1"/>
  <c r="K45" i="3" s="1"/>
  <c r="I46" i="3"/>
  <c r="H49" i="3"/>
  <c r="J46" i="3" l="1"/>
  <c r="K46" i="3" s="1"/>
  <c r="I47" i="3"/>
  <c r="H50" i="3"/>
  <c r="J47" i="3" l="1"/>
  <c r="K47" i="3" s="1"/>
  <c r="I48" i="3"/>
  <c r="H51" i="3"/>
  <c r="H52" i="3" l="1"/>
  <c r="J48" i="3"/>
  <c r="K48" i="3" s="1"/>
  <c r="I49" i="3"/>
  <c r="J49" i="3" l="1"/>
  <c r="K49" i="3" s="1"/>
  <c r="I50" i="3"/>
  <c r="H53" i="3"/>
  <c r="H54" i="3" l="1"/>
  <c r="J50" i="3"/>
  <c r="K50" i="3" s="1"/>
  <c r="I51" i="3"/>
  <c r="J51" i="3" l="1"/>
  <c r="K51" i="3" s="1"/>
  <c r="I52" i="3"/>
  <c r="H55" i="3"/>
  <c r="H56" i="3" l="1"/>
  <c r="J52" i="3"/>
  <c r="K52" i="3" s="1"/>
  <c r="I53" i="3"/>
  <c r="J53" i="3" l="1"/>
  <c r="K53" i="3" s="1"/>
  <c r="I54" i="3"/>
  <c r="H57" i="3"/>
  <c r="H58" i="3" l="1"/>
  <c r="J54" i="3"/>
  <c r="K54" i="3" s="1"/>
  <c r="I55" i="3"/>
  <c r="O11" i="3" l="1"/>
  <c r="N11" i="3"/>
  <c r="J55" i="3"/>
  <c r="K55" i="3" s="1"/>
  <c r="I56" i="3"/>
  <c r="H59" i="3"/>
  <c r="H60" i="3" l="1"/>
  <c r="J56" i="3"/>
  <c r="K56" i="3" s="1"/>
  <c r="I57" i="3"/>
  <c r="H61" i="3" l="1"/>
  <c r="J57" i="3"/>
  <c r="K57" i="3" s="1"/>
  <c r="I58" i="3"/>
  <c r="H62" i="3" l="1"/>
  <c r="J58" i="3"/>
  <c r="K58" i="3" s="1"/>
  <c r="I59" i="3"/>
  <c r="J59" i="3" l="1"/>
  <c r="K59" i="3" s="1"/>
  <c r="I60" i="3"/>
  <c r="H63" i="3"/>
  <c r="J60" i="3" l="1"/>
  <c r="K60" i="3" s="1"/>
  <c r="I61" i="3"/>
  <c r="H64" i="3"/>
  <c r="H65" i="3" l="1"/>
  <c r="J61" i="3"/>
  <c r="K61" i="3" s="1"/>
  <c r="I62" i="3"/>
  <c r="J62" i="3" l="1"/>
  <c r="K62" i="3" s="1"/>
  <c r="I63" i="3"/>
  <c r="H66" i="3"/>
  <c r="H67" i="3" l="1"/>
  <c r="J63" i="3"/>
  <c r="K63" i="3" s="1"/>
  <c r="I64" i="3"/>
  <c r="J64" i="3" l="1"/>
  <c r="K64" i="3" s="1"/>
  <c r="I65" i="3"/>
  <c r="H68" i="3"/>
  <c r="H69" i="3" l="1"/>
  <c r="J65" i="3"/>
  <c r="K65" i="3" s="1"/>
  <c r="I66" i="3"/>
  <c r="J66" i="3" l="1"/>
  <c r="K66" i="3" s="1"/>
  <c r="I67" i="3"/>
  <c r="H70" i="3"/>
  <c r="H71" i="3" l="1"/>
  <c r="J67" i="3"/>
  <c r="K67" i="3" s="1"/>
  <c r="I68" i="3"/>
  <c r="J68" i="3" l="1"/>
  <c r="K68" i="3" s="1"/>
  <c r="I69" i="3"/>
  <c r="H72" i="3"/>
  <c r="J69" i="3" l="1"/>
  <c r="K69" i="3" s="1"/>
  <c r="I70" i="3"/>
  <c r="H73" i="3"/>
  <c r="J70" i="3" l="1"/>
  <c r="K70" i="3" s="1"/>
  <c r="I71" i="3"/>
  <c r="H74" i="3"/>
  <c r="J71" i="3" l="1"/>
  <c r="K71" i="3" s="1"/>
  <c r="I72" i="3"/>
  <c r="H75" i="3"/>
  <c r="H76" i="3" l="1"/>
  <c r="J72" i="3"/>
  <c r="K72" i="3" s="1"/>
  <c r="I73" i="3"/>
  <c r="O12" i="3"/>
  <c r="N12" i="3"/>
  <c r="J73" i="3" l="1"/>
  <c r="K73" i="3" s="1"/>
  <c r="I74" i="3"/>
  <c r="H77" i="3"/>
  <c r="J74" i="3" l="1"/>
  <c r="K74" i="3" s="1"/>
  <c r="I75" i="3"/>
  <c r="H78" i="3"/>
  <c r="H79" i="3" l="1"/>
  <c r="J75" i="3"/>
  <c r="K75" i="3" s="1"/>
  <c r="I76" i="3"/>
  <c r="J76" i="3" l="1"/>
  <c r="K76" i="3" s="1"/>
  <c r="I77" i="3"/>
  <c r="H80" i="3"/>
  <c r="H81" i="3" l="1"/>
  <c r="J77" i="3"/>
  <c r="K77" i="3" s="1"/>
  <c r="I78" i="3"/>
  <c r="H82" i="3" l="1"/>
  <c r="J78" i="3"/>
  <c r="K78" i="3" s="1"/>
  <c r="I79" i="3"/>
  <c r="J79" i="3" l="1"/>
  <c r="K79" i="3" s="1"/>
  <c r="I80" i="3"/>
  <c r="H83" i="3"/>
  <c r="H84" i="3" l="1"/>
  <c r="J80" i="3"/>
  <c r="K80" i="3" s="1"/>
  <c r="I81" i="3"/>
  <c r="J81" i="3" l="1"/>
  <c r="K81" i="3" s="1"/>
  <c r="I82" i="3"/>
  <c r="H85" i="3"/>
  <c r="H86" i="3" l="1"/>
  <c r="J82" i="3"/>
  <c r="K82" i="3" s="1"/>
  <c r="I83" i="3"/>
  <c r="J83" i="3" l="1"/>
  <c r="K83" i="3" s="1"/>
  <c r="I84" i="3"/>
  <c r="H87" i="3"/>
  <c r="J84" i="3" l="1"/>
  <c r="K84" i="3" s="1"/>
  <c r="I85" i="3"/>
  <c r="H88" i="3"/>
  <c r="H89" i="3" l="1"/>
  <c r="J85" i="3"/>
  <c r="K85" i="3" s="1"/>
  <c r="I86" i="3"/>
  <c r="J86" i="3" l="1"/>
  <c r="K86" i="3" s="1"/>
  <c r="I87" i="3"/>
  <c r="H90" i="3"/>
  <c r="J87" i="3" l="1"/>
  <c r="K87" i="3" s="1"/>
  <c r="I88" i="3"/>
  <c r="H91" i="3"/>
  <c r="H92" i="3" l="1"/>
  <c r="J88" i="3"/>
  <c r="K88" i="3" s="1"/>
  <c r="I89" i="3"/>
  <c r="J89" i="3" l="1"/>
  <c r="K89" i="3" s="1"/>
  <c r="I90" i="3"/>
  <c r="O13" i="3"/>
  <c r="N13" i="3"/>
  <c r="H93" i="3"/>
  <c r="J90" i="3" l="1"/>
  <c r="K90" i="3" s="1"/>
  <c r="I91" i="3"/>
  <c r="H94" i="3"/>
  <c r="H95" i="3" l="1"/>
  <c r="J91" i="3"/>
  <c r="K91" i="3" s="1"/>
  <c r="I92" i="3"/>
  <c r="J92" i="3" l="1"/>
  <c r="K92" i="3" s="1"/>
  <c r="I93" i="3"/>
  <c r="H96" i="3"/>
  <c r="H97" i="3" l="1"/>
  <c r="J93" i="3"/>
  <c r="K93" i="3" s="1"/>
  <c r="I94" i="3"/>
  <c r="J94" i="3" l="1"/>
  <c r="K94" i="3" s="1"/>
  <c r="I95" i="3"/>
  <c r="H98" i="3"/>
  <c r="J95" i="3" l="1"/>
  <c r="K95" i="3" s="1"/>
  <c r="I96" i="3"/>
  <c r="H99" i="3"/>
  <c r="J96" i="3" l="1"/>
  <c r="K96" i="3" s="1"/>
  <c r="I97" i="3"/>
  <c r="H100" i="3"/>
  <c r="J97" i="3" l="1"/>
  <c r="K97" i="3" s="1"/>
  <c r="I98" i="3"/>
  <c r="H101" i="3"/>
  <c r="H102" i="3" l="1"/>
  <c r="J98" i="3"/>
  <c r="K98" i="3" s="1"/>
  <c r="I99" i="3"/>
  <c r="J99" i="3" l="1"/>
  <c r="K99" i="3" s="1"/>
  <c r="I100" i="3"/>
  <c r="H103" i="3"/>
  <c r="H104" i="3" l="1"/>
  <c r="J100" i="3"/>
  <c r="K100" i="3" s="1"/>
  <c r="I101" i="3"/>
  <c r="J101" i="3" l="1"/>
  <c r="K101" i="3" s="1"/>
  <c r="I102" i="3"/>
  <c r="H105" i="3"/>
  <c r="J102" i="3" l="1"/>
  <c r="K102" i="3" s="1"/>
  <c r="I103" i="3"/>
  <c r="J103" i="3" l="1"/>
  <c r="K103" i="3" s="1"/>
  <c r="I104" i="3"/>
  <c r="J104" i="3" l="1"/>
  <c r="K104" i="3" s="1"/>
  <c r="I105" i="3"/>
  <c r="J105" i="3" s="1"/>
  <c r="K105" i="3" s="1"/>
  <c r="O14" i="3" s="1"/>
  <c r="N14" i="3" l="1"/>
</calcChain>
</file>

<file path=xl/sharedStrings.xml><?xml version="1.0" encoding="utf-8"?>
<sst xmlns="http://schemas.openxmlformats.org/spreadsheetml/2006/main" count="147" uniqueCount="44">
  <si>
    <t>Deterministic Flow Shop — Base Processing Times (minutes)</t>
  </si>
  <si>
    <t>Module Type</t>
  </si>
  <si>
    <t>Area (m²)</t>
  </si>
  <si>
    <t>Framing</t>
  </si>
  <si>
    <t>MEP</t>
  </si>
  <si>
    <t>Finishing</t>
  </si>
  <si>
    <t>Inspection</t>
  </si>
  <si>
    <t>Type A</t>
  </si>
  <si>
    <t>Type B</t>
  </si>
  <si>
    <t>Type C</t>
  </si>
  <si>
    <t>Mix per floor:</t>
  </si>
  <si>
    <t>8 × Type A,  2 × Type B,  7 × Type C  =  17 modules/floor</t>
  </si>
  <si>
    <t>Project:</t>
  </si>
  <si>
    <t>6 floors × 17 = 102 modules</t>
  </si>
  <si>
    <t>Working day:</t>
  </si>
  <si>
    <t>480 minutes (8 hours) — used to convert minutes → days</t>
  </si>
  <si>
    <t>Stage:</t>
  </si>
  <si>
    <t>DETERMINISTIC (no variability, no disruptions). CV = 0 at this stage.</t>
  </si>
  <si>
    <t>8A → 2B → 7C</t>
  </si>
  <si>
    <t>Makespan (days)</t>
  </si>
  <si>
    <t>Floor 1</t>
  </si>
  <si>
    <t>Floor 2</t>
  </si>
  <si>
    <t>Floor 3</t>
  </si>
  <si>
    <t>Floor 4</t>
  </si>
  <si>
    <t>Floor 5</t>
  </si>
  <si>
    <t>Floor 6</t>
  </si>
  <si>
    <t>Ordering 1:  8A-2B-7C   (this block order repeated for all 6 floors)</t>
  </si>
  <si>
    <t>Seq #</t>
  </si>
  <si>
    <t>Floor</t>
  </si>
  <si>
    <t>Type</t>
  </si>
  <si>
    <t>p_Framing</t>
  </si>
  <si>
    <t>p_MEP</t>
  </si>
  <si>
    <t>p_Finish</t>
  </si>
  <si>
    <t>p_Insp</t>
  </si>
  <si>
    <t>C_Framing</t>
  </si>
  <si>
    <t>C_MEP</t>
  </si>
  <si>
    <t>C_Finish</t>
  </si>
  <si>
    <t>C_Insp</t>
  </si>
  <si>
    <t>RESULTS (minutes)</t>
  </si>
  <si>
    <t>Floor completion (min)</t>
  </si>
  <si>
    <t>Minutes</t>
  </si>
  <si>
    <t>Days</t>
  </si>
  <si>
    <t>orderings tested (each repeated 6 times, once per floor):</t>
  </si>
  <si>
    <t>Base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</si>
</sst>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5090"/>
        <bgColor rgb="FF666699"/>
      </patternFill>
    </fill>
    <fill>
      <patternFill patternType="solid">
        <fgColor rgb="FFE1F5EE"/>
        <bgColor rgb="FFE2EFDA"/>
      </patternFill>
    </fill>
    <fill>
      <patternFill patternType="solid">
        <fgColor rgb="FFFAEEDA"/>
        <bgColor rgb="FFFAECE7"/>
      </patternFill>
    </fill>
    <fill>
      <patternFill patternType="solid">
        <fgColor rgb="FFFAECE7"/>
        <bgColor rgb="FFFAEEDA"/>
      </patternFill>
    </fill>
    <fill>
      <patternFill patternType="solid">
        <fgColor rgb="FFE2EFDA"/>
        <bgColor rgb="FFE1F5EE"/>
      </patternFill>
    </fill>
    <fill>
      <patternFill patternType="solid">
        <fgColor rgb="FFFCE4D6"/>
        <bgColor rgb="FFFAEE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6" borderId="0" xfId="0" applyFont="1" applyFill="1"/>
    <xf numFmtId="3" fontId="3" fillId="0" borderId="1" xfId="0" applyNumberFormat="1" applyFont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AECE7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>
      <selection activeCell="B17" sqref="B17"/>
    </sheetView>
  </sheetViews>
  <sheetFormatPr defaultColWidth="8.6640625" defaultRowHeight="14.4" x14ac:dyDescent="0.3"/>
  <cols>
    <col min="1" max="1" width="16" customWidth="1"/>
    <col min="2" max="2" width="58.33203125" bestFit="1" customWidth="1"/>
    <col min="3" max="5" width="11" customWidth="1"/>
    <col min="6" max="6" width="12" customWidth="1"/>
  </cols>
  <sheetData>
    <row r="1" spans="1:6" ht="17.399999999999999" x14ac:dyDescent="0.3">
      <c r="A1" s="17" t="s">
        <v>0</v>
      </c>
      <c r="B1" s="17"/>
      <c r="C1" s="17"/>
      <c r="D1" s="17"/>
      <c r="E1" s="17"/>
      <c r="F1" s="17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2">
        <v>4.3</v>
      </c>
      <c r="C4" s="2">
        <v>67</v>
      </c>
      <c r="D4" s="2">
        <v>178</v>
      </c>
      <c r="E4" s="2">
        <v>155</v>
      </c>
      <c r="F4" s="2">
        <v>44</v>
      </c>
    </row>
    <row r="5" spans="1:6" x14ac:dyDescent="0.3">
      <c r="A5" s="3" t="s">
        <v>8</v>
      </c>
      <c r="B5" s="3">
        <v>7.9</v>
      </c>
      <c r="C5" s="3">
        <v>225</v>
      </c>
      <c r="D5" s="3">
        <v>599</v>
      </c>
      <c r="E5" s="3">
        <v>524</v>
      </c>
      <c r="F5" s="3">
        <v>150</v>
      </c>
    </row>
    <row r="6" spans="1:6" x14ac:dyDescent="0.3">
      <c r="A6" s="4" t="s">
        <v>9</v>
      </c>
      <c r="B6" s="4">
        <v>9.9</v>
      </c>
      <c r="C6" s="4">
        <v>353</v>
      </c>
      <c r="D6" s="4">
        <v>941</v>
      </c>
      <c r="E6" s="4">
        <v>823</v>
      </c>
      <c r="F6" s="4">
        <v>235</v>
      </c>
    </row>
    <row r="9" spans="1:6" x14ac:dyDescent="0.3">
      <c r="A9" s="5" t="s">
        <v>10</v>
      </c>
      <c r="B9" s="6" t="s">
        <v>11</v>
      </c>
    </row>
    <row r="10" spans="1:6" x14ac:dyDescent="0.3">
      <c r="A10" s="5" t="s">
        <v>12</v>
      </c>
      <c r="B10" s="6" t="s">
        <v>13</v>
      </c>
    </row>
    <row r="11" spans="1:6" x14ac:dyDescent="0.3">
      <c r="A11" s="5" t="s">
        <v>14</v>
      </c>
      <c r="B11" s="6" t="s">
        <v>15</v>
      </c>
    </row>
    <row r="12" spans="1:6" x14ac:dyDescent="0.3">
      <c r="A12" s="5" t="s">
        <v>16</v>
      </c>
      <c r="B12" s="6" t="s">
        <v>17</v>
      </c>
    </row>
    <row r="14" spans="1:6" x14ac:dyDescent="0.3">
      <c r="A14" s="5" t="s">
        <v>42</v>
      </c>
    </row>
    <row r="15" spans="1:6" x14ac:dyDescent="0.3">
      <c r="A15" s="6" t="s">
        <v>43</v>
      </c>
      <c r="B15" s="6" t="s">
        <v>18</v>
      </c>
    </row>
    <row r="16" spans="1:6" x14ac:dyDescent="0.3">
      <c r="A16" s="6"/>
      <c r="B16" s="6"/>
    </row>
    <row r="17" spans="1:2" x14ac:dyDescent="0.3">
      <c r="A17" s="6"/>
      <c r="B17" s="6"/>
    </row>
    <row r="18" spans="1:2" x14ac:dyDescent="0.3">
      <c r="A18" s="6"/>
      <c r="B18" s="6"/>
    </row>
    <row r="19" spans="1:2" x14ac:dyDescent="0.3">
      <c r="A19" s="6"/>
      <c r="B19" s="6"/>
    </row>
    <row r="20" spans="1:2" x14ac:dyDescent="0.3">
      <c r="A20" s="6"/>
      <c r="B20" s="6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5"/>
  <sheetViews>
    <sheetView tabSelected="1" zoomScaleNormal="100" workbookViewId="0">
      <pane ySplit="3" topLeftCell="A4" activePane="bottomLeft" state="frozen"/>
      <selection pane="bottomLeft" activeCell="O15" sqref="O15"/>
    </sheetView>
  </sheetViews>
  <sheetFormatPr defaultColWidth="8.6640625" defaultRowHeight="14.4" x14ac:dyDescent="0.3"/>
  <cols>
    <col min="1" max="1" width="6.44140625" bestFit="1" customWidth="1"/>
    <col min="2" max="2" width="6" customWidth="1"/>
    <col min="3" max="3" width="8" customWidth="1"/>
    <col min="4" max="4" width="11.33203125" bestFit="1" customWidth="1"/>
    <col min="5" max="5" width="7.6640625" bestFit="1" customWidth="1"/>
    <col min="6" max="7" width="9" customWidth="1"/>
    <col min="8" max="8" width="11" customWidth="1"/>
    <col min="9" max="11" width="10" customWidth="1"/>
    <col min="12" max="12" width="3" customWidth="1"/>
    <col min="13" max="13" width="22" customWidth="1"/>
    <col min="14" max="14" width="11" customWidth="1"/>
    <col min="15" max="15" width="8" customWidth="1"/>
  </cols>
  <sheetData>
    <row r="1" spans="1:15" ht="16.8" x14ac:dyDescent="0.3">
      <c r="A1" s="16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5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M3" s="5"/>
    </row>
    <row r="4" spans="1:15" x14ac:dyDescent="0.3">
      <c r="A4" s="7">
        <v>1</v>
      </c>
      <c r="B4" s="7">
        <v>1</v>
      </c>
      <c r="C4" s="2" t="s">
        <v>7</v>
      </c>
      <c r="D4" s="9">
        <f>Parameters!C4</f>
        <v>67</v>
      </c>
      <c r="E4" s="9">
        <f>Parameters!D4</f>
        <v>178</v>
      </c>
      <c r="F4" s="9">
        <f>Parameters!E4</f>
        <v>155</v>
      </c>
      <c r="G4" s="9">
        <f>Parameters!F4</f>
        <v>44</v>
      </c>
      <c r="H4" s="9">
        <f>D4</f>
        <v>67</v>
      </c>
      <c r="I4" s="10">
        <f>H4+E4</f>
        <v>245</v>
      </c>
      <c r="J4" s="9">
        <f>I4+F4</f>
        <v>400</v>
      </c>
      <c r="K4" s="9">
        <f>J4+G4</f>
        <v>444</v>
      </c>
      <c r="M4" s="8" t="s">
        <v>38</v>
      </c>
      <c r="N4" s="11"/>
    </row>
    <row r="5" spans="1:15" x14ac:dyDescent="0.3">
      <c r="A5" s="7">
        <v>2</v>
      </c>
      <c r="B5" s="7">
        <v>1</v>
      </c>
      <c r="C5" s="2" t="s">
        <v>7</v>
      </c>
      <c r="D5" s="9">
        <f>Parameters!C4</f>
        <v>67</v>
      </c>
      <c r="E5" s="9">
        <f>Parameters!D4</f>
        <v>178</v>
      </c>
      <c r="F5" s="9">
        <f>Parameters!E4</f>
        <v>155</v>
      </c>
      <c r="G5" s="9">
        <f>Parameters!F4</f>
        <v>44</v>
      </c>
      <c r="H5" s="9">
        <f t="shared" ref="H5:H36" si="0">H4+D5</f>
        <v>134</v>
      </c>
      <c r="I5" s="10">
        <f t="shared" ref="I5:I36" si="1">MAX(H5,I4)+E5</f>
        <v>423</v>
      </c>
      <c r="J5" s="9">
        <f t="shared" ref="J5:J36" si="2">MAX(I5,J4)+F5</f>
        <v>578</v>
      </c>
      <c r="K5" s="9">
        <f t="shared" ref="K5:K36" si="3">MAX(J5,K4)+G5</f>
        <v>622</v>
      </c>
      <c r="M5" s="5" t="s">
        <v>19</v>
      </c>
      <c r="N5" s="15">
        <f>K105/480</f>
        <v>117.45625</v>
      </c>
    </row>
    <row r="6" spans="1:15" x14ac:dyDescent="0.3">
      <c r="A6" s="7">
        <v>3</v>
      </c>
      <c r="B6" s="7">
        <v>1</v>
      </c>
      <c r="C6" s="2" t="s">
        <v>7</v>
      </c>
      <c r="D6" s="9">
        <f>Parameters!C4</f>
        <v>67</v>
      </c>
      <c r="E6" s="9">
        <f>Parameters!D4</f>
        <v>178</v>
      </c>
      <c r="F6" s="9">
        <f>Parameters!E4</f>
        <v>155</v>
      </c>
      <c r="G6" s="9">
        <f>Parameters!F4</f>
        <v>44</v>
      </c>
      <c r="H6" s="9">
        <f t="shared" si="0"/>
        <v>201</v>
      </c>
      <c r="I6" s="10">
        <f t="shared" si="1"/>
        <v>601</v>
      </c>
      <c r="J6" s="9">
        <f t="shared" si="2"/>
        <v>756</v>
      </c>
      <c r="K6" s="9">
        <f t="shared" si="3"/>
        <v>800</v>
      </c>
    </row>
    <row r="7" spans="1:15" x14ac:dyDescent="0.3">
      <c r="A7" s="7">
        <v>4</v>
      </c>
      <c r="B7" s="7">
        <v>1</v>
      </c>
      <c r="C7" s="2" t="s">
        <v>7</v>
      </c>
      <c r="D7" s="9">
        <f>Parameters!C4</f>
        <v>67</v>
      </c>
      <c r="E7" s="9">
        <f>Parameters!D4</f>
        <v>178</v>
      </c>
      <c r="F7" s="9">
        <f>Parameters!E4</f>
        <v>155</v>
      </c>
      <c r="G7" s="9">
        <f>Parameters!F4</f>
        <v>44</v>
      </c>
      <c r="H7" s="9">
        <f t="shared" si="0"/>
        <v>268</v>
      </c>
      <c r="I7" s="10">
        <f t="shared" si="1"/>
        <v>779</v>
      </c>
      <c r="J7" s="9">
        <f t="shared" si="2"/>
        <v>934</v>
      </c>
      <c r="K7" s="9">
        <f t="shared" si="3"/>
        <v>978</v>
      </c>
      <c r="M7" s="8" t="s">
        <v>39</v>
      </c>
    </row>
    <row r="8" spans="1:15" x14ac:dyDescent="0.3">
      <c r="A8" s="7">
        <v>5</v>
      </c>
      <c r="B8" s="7">
        <v>1</v>
      </c>
      <c r="C8" s="2" t="s">
        <v>7</v>
      </c>
      <c r="D8" s="9">
        <f>Parameters!C4</f>
        <v>67</v>
      </c>
      <c r="E8" s="9">
        <f>Parameters!D4</f>
        <v>178</v>
      </c>
      <c r="F8" s="9">
        <f>Parameters!E4</f>
        <v>155</v>
      </c>
      <c r="G8" s="9">
        <f>Parameters!F4</f>
        <v>44</v>
      </c>
      <c r="H8" s="9">
        <f t="shared" si="0"/>
        <v>335</v>
      </c>
      <c r="I8" s="10">
        <f t="shared" si="1"/>
        <v>957</v>
      </c>
      <c r="J8" s="9">
        <f t="shared" si="2"/>
        <v>1112</v>
      </c>
      <c r="K8" s="9">
        <f t="shared" si="3"/>
        <v>1156</v>
      </c>
      <c r="M8" s="5" t="s">
        <v>28</v>
      </c>
      <c r="N8" s="5" t="s">
        <v>40</v>
      </c>
      <c r="O8" s="5" t="s">
        <v>41</v>
      </c>
    </row>
    <row r="9" spans="1:15" x14ac:dyDescent="0.3">
      <c r="A9" s="7">
        <v>6</v>
      </c>
      <c r="B9" s="7">
        <v>1</v>
      </c>
      <c r="C9" s="2" t="s">
        <v>7</v>
      </c>
      <c r="D9" s="9">
        <f>Parameters!C4</f>
        <v>67</v>
      </c>
      <c r="E9" s="9">
        <f>Parameters!D4</f>
        <v>178</v>
      </c>
      <c r="F9" s="9">
        <f>Parameters!E4</f>
        <v>155</v>
      </c>
      <c r="G9" s="9">
        <f>Parameters!F4</f>
        <v>44</v>
      </c>
      <c r="H9" s="9">
        <f t="shared" si="0"/>
        <v>402</v>
      </c>
      <c r="I9" s="10">
        <f t="shared" si="1"/>
        <v>1135</v>
      </c>
      <c r="J9" s="9">
        <f t="shared" si="2"/>
        <v>1290</v>
      </c>
      <c r="K9" s="9">
        <f t="shared" si="3"/>
        <v>1334</v>
      </c>
      <c r="M9" s="7" t="s">
        <v>20</v>
      </c>
      <c r="N9" s="9">
        <f>K20</f>
        <v>10334</v>
      </c>
      <c r="O9" s="14">
        <f>K20/480</f>
        <v>21.529166666666665</v>
      </c>
    </row>
    <row r="10" spans="1:15" x14ac:dyDescent="0.3">
      <c r="A10" s="7">
        <v>7</v>
      </c>
      <c r="B10" s="7">
        <v>1</v>
      </c>
      <c r="C10" s="2" t="s">
        <v>7</v>
      </c>
      <c r="D10" s="9">
        <f>Parameters!C4</f>
        <v>67</v>
      </c>
      <c r="E10" s="9">
        <f>Parameters!D4</f>
        <v>178</v>
      </c>
      <c r="F10" s="9">
        <f>Parameters!E4</f>
        <v>155</v>
      </c>
      <c r="G10" s="9">
        <f>Parameters!F4</f>
        <v>44</v>
      </c>
      <c r="H10" s="9">
        <f t="shared" si="0"/>
        <v>469</v>
      </c>
      <c r="I10" s="10">
        <f t="shared" si="1"/>
        <v>1313</v>
      </c>
      <c r="J10" s="9">
        <f t="shared" si="2"/>
        <v>1468</v>
      </c>
      <c r="K10" s="9">
        <f t="shared" si="3"/>
        <v>1512</v>
      </c>
      <c r="M10" s="7" t="s">
        <v>21</v>
      </c>
      <c r="N10" s="9">
        <f>K37</f>
        <v>19543</v>
      </c>
      <c r="O10" s="14">
        <f>K37/480</f>
        <v>40.71458333333333</v>
      </c>
    </row>
    <row r="11" spans="1:15" x14ac:dyDescent="0.3">
      <c r="A11" s="7">
        <v>8</v>
      </c>
      <c r="B11" s="7">
        <v>1</v>
      </c>
      <c r="C11" s="2" t="s">
        <v>7</v>
      </c>
      <c r="D11" s="9">
        <f>Parameters!C4</f>
        <v>67</v>
      </c>
      <c r="E11" s="9">
        <f>Parameters!D4</f>
        <v>178</v>
      </c>
      <c r="F11" s="9">
        <f>Parameters!E4</f>
        <v>155</v>
      </c>
      <c r="G11" s="9">
        <f>Parameters!F4</f>
        <v>44</v>
      </c>
      <c r="H11" s="9">
        <f t="shared" si="0"/>
        <v>536</v>
      </c>
      <c r="I11" s="10">
        <f t="shared" si="1"/>
        <v>1491</v>
      </c>
      <c r="J11" s="9">
        <f t="shared" si="2"/>
        <v>1646</v>
      </c>
      <c r="K11" s="9">
        <f t="shared" si="3"/>
        <v>1690</v>
      </c>
      <c r="M11" s="7" t="s">
        <v>22</v>
      </c>
      <c r="N11" s="9">
        <f>K54</f>
        <v>28752</v>
      </c>
      <c r="O11" s="14">
        <f>K54/480</f>
        <v>59.9</v>
      </c>
    </row>
    <row r="12" spans="1:15" x14ac:dyDescent="0.3">
      <c r="A12" s="7">
        <v>9</v>
      </c>
      <c r="B12" s="7">
        <v>1</v>
      </c>
      <c r="C12" s="3" t="s">
        <v>8</v>
      </c>
      <c r="D12" s="9">
        <f>Parameters!C5</f>
        <v>225</v>
      </c>
      <c r="E12" s="9">
        <f>Parameters!D5</f>
        <v>599</v>
      </c>
      <c r="F12" s="9">
        <f>Parameters!E5</f>
        <v>524</v>
      </c>
      <c r="G12" s="9">
        <f>Parameters!F5</f>
        <v>150</v>
      </c>
      <c r="H12" s="9">
        <f t="shared" si="0"/>
        <v>761</v>
      </c>
      <c r="I12" s="10">
        <f t="shared" si="1"/>
        <v>2090</v>
      </c>
      <c r="J12" s="9">
        <f t="shared" si="2"/>
        <v>2614</v>
      </c>
      <c r="K12" s="9">
        <f t="shared" si="3"/>
        <v>2764</v>
      </c>
      <c r="M12" s="7" t="s">
        <v>23</v>
      </c>
      <c r="N12" s="9">
        <f>K71</f>
        <v>37961</v>
      </c>
      <c r="O12" s="14">
        <f>K71/480</f>
        <v>79.08541666666666</v>
      </c>
    </row>
    <row r="13" spans="1:15" x14ac:dyDescent="0.3">
      <c r="A13" s="7">
        <v>10</v>
      </c>
      <c r="B13" s="7">
        <v>1</v>
      </c>
      <c r="C13" s="3" t="s">
        <v>8</v>
      </c>
      <c r="D13" s="9">
        <f>Parameters!C5</f>
        <v>225</v>
      </c>
      <c r="E13" s="9">
        <f>Parameters!D5</f>
        <v>599</v>
      </c>
      <c r="F13" s="9">
        <f>Parameters!E5</f>
        <v>524</v>
      </c>
      <c r="G13" s="9">
        <f>Parameters!F5</f>
        <v>150</v>
      </c>
      <c r="H13" s="9">
        <f t="shared" si="0"/>
        <v>986</v>
      </c>
      <c r="I13" s="10">
        <f t="shared" si="1"/>
        <v>2689</v>
      </c>
      <c r="J13" s="9">
        <f t="shared" si="2"/>
        <v>3213</v>
      </c>
      <c r="K13" s="9">
        <f t="shared" si="3"/>
        <v>3363</v>
      </c>
      <c r="M13" s="7" t="s">
        <v>24</v>
      </c>
      <c r="N13" s="9">
        <f>K88</f>
        <v>47170</v>
      </c>
      <c r="O13" s="14">
        <f>K88/480</f>
        <v>98.270833333333329</v>
      </c>
    </row>
    <row r="14" spans="1:15" x14ac:dyDescent="0.3">
      <c r="A14" s="7">
        <v>11</v>
      </c>
      <c r="B14" s="7">
        <v>1</v>
      </c>
      <c r="C14" s="4" t="s">
        <v>9</v>
      </c>
      <c r="D14" s="9">
        <f>Parameters!C6</f>
        <v>353</v>
      </c>
      <c r="E14" s="9">
        <f>Parameters!D6</f>
        <v>941</v>
      </c>
      <c r="F14" s="9">
        <f>Parameters!E6</f>
        <v>823</v>
      </c>
      <c r="G14" s="9">
        <f>Parameters!F6</f>
        <v>235</v>
      </c>
      <c r="H14" s="9">
        <f t="shared" si="0"/>
        <v>1339</v>
      </c>
      <c r="I14" s="10">
        <f t="shared" si="1"/>
        <v>3630</v>
      </c>
      <c r="J14" s="9">
        <f t="shared" si="2"/>
        <v>4453</v>
      </c>
      <c r="K14" s="9">
        <f t="shared" si="3"/>
        <v>4688</v>
      </c>
      <c r="M14" s="7" t="s">
        <v>25</v>
      </c>
      <c r="N14" s="9">
        <f>K105</f>
        <v>56379</v>
      </c>
      <c r="O14" s="14">
        <f>K105/480</f>
        <v>117.45625</v>
      </c>
    </row>
    <row r="15" spans="1:15" x14ac:dyDescent="0.3">
      <c r="A15" s="7">
        <v>12</v>
      </c>
      <c r="B15" s="7">
        <v>1</v>
      </c>
      <c r="C15" s="4" t="s">
        <v>9</v>
      </c>
      <c r="D15" s="9">
        <f>Parameters!C6</f>
        <v>353</v>
      </c>
      <c r="E15" s="9">
        <f>Parameters!D6</f>
        <v>941</v>
      </c>
      <c r="F15" s="9">
        <f>Parameters!E6</f>
        <v>823</v>
      </c>
      <c r="G15" s="9">
        <f>Parameters!F6</f>
        <v>235</v>
      </c>
      <c r="H15" s="9">
        <f t="shared" si="0"/>
        <v>1692</v>
      </c>
      <c r="I15" s="10">
        <f t="shared" si="1"/>
        <v>4571</v>
      </c>
      <c r="J15" s="9">
        <f t="shared" si="2"/>
        <v>5394</v>
      </c>
      <c r="K15" s="9">
        <f t="shared" si="3"/>
        <v>5629</v>
      </c>
    </row>
    <row r="16" spans="1:15" x14ac:dyDescent="0.3">
      <c r="A16" s="7">
        <v>13</v>
      </c>
      <c r="B16" s="7">
        <v>1</v>
      </c>
      <c r="C16" s="4" t="s">
        <v>9</v>
      </c>
      <c r="D16" s="9">
        <f>Parameters!C6</f>
        <v>353</v>
      </c>
      <c r="E16" s="9">
        <f>Parameters!D6</f>
        <v>941</v>
      </c>
      <c r="F16" s="9">
        <f>Parameters!E6</f>
        <v>823</v>
      </c>
      <c r="G16" s="9">
        <f>Parameters!F6</f>
        <v>235</v>
      </c>
      <c r="H16" s="9">
        <f t="shared" si="0"/>
        <v>2045</v>
      </c>
      <c r="I16" s="10">
        <f t="shared" si="1"/>
        <v>5512</v>
      </c>
      <c r="J16" s="9">
        <f t="shared" si="2"/>
        <v>6335</v>
      </c>
      <c r="K16" s="9">
        <f t="shared" si="3"/>
        <v>6570</v>
      </c>
      <c r="M16" s="5"/>
    </row>
    <row r="17" spans="1:14" x14ac:dyDescent="0.3">
      <c r="A17" s="7">
        <v>14</v>
      </c>
      <c r="B17" s="7">
        <v>1</v>
      </c>
      <c r="C17" s="4" t="s">
        <v>9</v>
      </c>
      <c r="D17" s="9">
        <f>Parameters!C6</f>
        <v>353</v>
      </c>
      <c r="E17" s="9">
        <f>Parameters!D6</f>
        <v>941</v>
      </c>
      <c r="F17" s="9">
        <f>Parameters!E6</f>
        <v>823</v>
      </c>
      <c r="G17" s="9">
        <f>Parameters!F6</f>
        <v>235</v>
      </c>
      <c r="H17" s="9">
        <f t="shared" si="0"/>
        <v>2398</v>
      </c>
      <c r="I17" s="10">
        <f t="shared" si="1"/>
        <v>6453</v>
      </c>
      <c r="J17" s="9">
        <f t="shared" si="2"/>
        <v>7276</v>
      </c>
      <c r="K17" s="9">
        <f t="shared" si="3"/>
        <v>7511</v>
      </c>
      <c r="M17" s="12"/>
      <c r="N17" s="13"/>
    </row>
    <row r="18" spans="1:14" x14ac:dyDescent="0.3">
      <c r="A18" s="7">
        <v>15</v>
      </c>
      <c r="B18" s="7">
        <v>1</v>
      </c>
      <c r="C18" s="4" t="s">
        <v>9</v>
      </c>
      <c r="D18" s="9">
        <f>Parameters!C6</f>
        <v>353</v>
      </c>
      <c r="E18" s="9">
        <f>Parameters!D6</f>
        <v>941</v>
      </c>
      <c r="F18" s="9">
        <f>Parameters!E6</f>
        <v>823</v>
      </c>
      <c r="G18" s="9">
        <f>Parameters!F6</f>
        <v>235</v>
      </c>
      <c r="H18" s="9">
        <f t="shared" si="0"/>
        <v>2751</v>
      </c>
      <c r="I18" s="10">
        <f t="shared" si="1"/>
        <v>7394</v>
      </c>
      <c r="J18" s="9">
        <f t="shared" si="2"/>
        <v>8217</v>
      </c>
      <c r="K18" s="9">
        <f t="shared" si="3"/>
        <v>8452</v>
      </c>
      <c r="M18" s="12"/>
      <c r="N18" s="13"/>
    </row>
    <row r="19" spans="1:14" x14ac:dyDescent="0.3">
      <c r="A19" s="7">
        <v>16</v>
      </c>
      <c r="B19" s="7">
        <v>1</v>
      </c>
      <c r="C19" s="4" t="s">
        <v>9</v>
      </c>
      <c r="D19" s="9">
        <f>Parameters!C6</f>
        <v>353</v>
      </c>
      <c r="E19" s="9">
        <f>Parameters!D6</f>
        <v>941</v>
      </c>
      <c r="F19" s="9">
        <f>Parameters!E6</f>
        <v>823</v>
      </c>
      <c r="G19" s="9">
        <f>Parameters!F6</f>
        <v>235</v>
      </c>
      <c r="H19" s="9">
        <f t="shared" si="0"/>
        <v>3104</v>
      </c>
      <c r="I19" s="10">
        <f t="shared" si="1"/>
        <v>8335</v>
      </c>
      <c r="J19" s="9">
        <f t="shared" si="2"/>
        <v>9158</v>
      </c>
      <c r="K19" s="9">
        <f t="shared" si="3"/>
        <v>9393</v>
      </c>
      <c r="M19" s="12"/>
      <c r="N19" s="13"/>
    </row>
    <row r="20" spans="1:14" x14ac:dyDescent="0.3">
      <c r="A20" s="7">
        <v>17</v>
      </c>
      <c r="B20" s="7">
        <v>1</v>
      </c>
      <c r="C20" s="4" t="s">
        <v>9</v>
      </c>
      <c r="D20" s="9">
        <f>Parameters!C6</f>
        <v>353</v>
      </c>
      <c r="E20" s="9">
        <f>Parameters!D6</f>
        <v>941</v>
      </c>
      <c r="F20" s="9">
        <f>Parameters!E6</f>
        <v>823</v>
      </c>
      <c r="G20" s="9">
        <f>Parameters!F6</f>
        <v>235</v>
      </c>
      <c r="H20" s="9">
        <f t="shared" si="0"/>
        <v>3457</v>
      </c>
      <c r="I20" s="10">
        <f t="shared" si="1"/>
        <v>9276</v>
      </c>
      <c r="J20" s="9">
        <f t="shared" si="2"/>
        <v>10099</v>
      </c>
      <c r="K20" s="9">
        <f t="shared" si="3"/>
        <v>10334</v>
      </c>
      <c r="M20" s="12"/>
      <c r="N20" s="13"/>
    </row>
    <row r="21" spans="1:14" x14ac:dyDescent="0.3">
      <c r="A21" s="7">
        <v>18</v>
      </c>
      <c r="B21" s="7">
        <v>2</v>
      </c>
      <c r="C21" s="2" t="s">
        <v>7</v>
      </c>
      <c r="D21" s="9">
        <f>Parameters!C4</f>
        <v>67</v>
      </c>
      <c r="E21" s="9">
        <f>Parameters!D4</f>
        <v>178</v>
      </c>
      <c r="F21" s="9">
        <f>Parameters!E4</f>
        <v>155</v>
      </c>
      <c r="G21" s="9">
        <f>Parameters!F4</f>
        <v>44</v>
      </c>
      <c r="H21" s="9">
        <f t="shared" si="0"/>
        <v>3524</v>
      </c>
      <c r="I21" s="10">
        <f t="shared" si="1"/>
        <v>9454</v>
      </c>
      <c r="J21" s="9">
        <f t="shared" si="2"/>
        <v>10254</v>
      </c>
      <c r="K21" s="9">
        <f t="shared" si="3"/>
        <v>10378</v>
      </c>
      <c r="M21" s="12"/>
      <c r="N21" s="13"/>
    </row>
    <row r="22" spans="1:14" x14ac:dyDescent="0.3">
      <c r="A22" s="7">
        <v>19</v>
      </c>
      <c r="B22" s="7">
        <v>2</v>
      </c>
      <c r="C22" s="2" t="s">
        <v>7</v>
      </c>
      <c r="D22" s="9">
        <f>Parameters!C4</f>
        <v>67</v>
      </c>
      <c r="E22" s="9">
        <f>Parameters!D4</f>
        <v>178</v>
      </c>
      <c r="F22" s="9">
        <f>Parameters!E4</f>
        <v>155</v>
      </c>
      <c r="G22" s="9">
        <f>Parameters!F4</f>
        <v>44</v>
      </c>
      <c r="H22" s="9">
        <f t="shared" si="0"/>
        <v>3591</v>
      </c>
      <c r="I22" s="10">
        <f t="shared" si="1"/>
        <v>9632</v>
      </c>
      <c r="J22" s="9">
        <f t="shared" si="2"/>
        <v>10409</v>
      </c>
      <c r="K22" s="9">
        <f t="shared" si="3"/>
        <v>10453</v>
      </c>
    </row>
    <row r="23" spans="1:14" x14ac:dyDescent="0.3">
      <c r="A23" s="7">
        <v>20</v>
      </c>
      <c r="B23" s="7">
        <v>2</v>
      </c>
      <c r="C23" s="2" t="s">
        <v>7</v>
      </c>
      <c r="D23" s="9">
        <f>Parameters!C4</f>
        <v>67</v>
      </c>
      <c r="E23" s="9">
        <f>Parameters!D4</f>
        <v>178</v>
      </c>
      <c r="F23" s="9">
        <f>Parameters!E4</f>
        <v>155</v>
      </c>
      <c r="G23" s="9">
        <f>Parameters!F4</f>
        <v>44</v>
      </c>
      <c r="H23" s="9">
        <f t="shared" si="0"/>
        <v>3658</v>
      </c>
      <c r="I23" s="10">
        <f t="shared" si="1"/>
        <v>9810</v>
      </c>
      <c r="J23" s="9">
        <f t="shared" si="2"/>
        <v>10564</v>
      </c>
      <c r="K23" s="9">
        <f t="shared" si="3"/>
        <v>10608</v>
      </c>
    </row>
    <row r="24" spans="1:14" x14ac:dyDescent="0.3">
      <c r="A24" s="7">
        <v>21</v>
      </c>
      <c r="B24" s="7">
        <v>2</v>
      </c>
      <c r="C24" s="2" t="s">
        <v>7</v>
      </c>
      <c r="D24" s="9">
        <f>Parameters!C4</f>
        <v>67</v>
      </c>
      <c r="E24" s="9">
        <f>Parameters!D4</f>
        <v>178</v>
      </c>
      <c r="F24" s="9">
        <f>Parameters!E4</f>
        <v>155</v>
      </c>
      <c r="G24" s="9">
        <f>Parameters!F4</f>
        <v>44</v>
      </c>
      <c r="H24" s="9">
        <f t="shared" si="0"/>
        <v>3725</v>
      </c>
      <c r="I24" s="10">
        <f t="shared" si="1"/>
        <v>9988</v>
      </c>
      <c r="J24" s="9">
        <f t="shared" si="2"/>
        <v>10719</v>
      </c>
      <c r="K24" s="9">
        <f t="shared" si="3"/>
        <v>10763</v>
      </c>
    </row>
    <row r="25" spans="1:14" x14ac:dyDescent="0.3">
      <c r="A25" s="7">
        <v>22</v>
      </c>
      <c r="B25" s="7">
        <v>2</v>
      </c>
      <c r="C25" s="2" t="s">
        <v>7</v>
      </c>
      <c r="D25" s="9">
        <f>Parameters!C4</f>
        <v>67</v>
      </c>
      <c r="E25" s="9">
        <f>Parameters!D4</f>
        <v>178</v>
      </c>
      <c r="F25" s="9">
        <f>Parameters!E4</f>
        <v>155</v>
      </c>
      <c r="G25" s="9">
        <f>Parameters!F4</f>
        <v>44</v>
      </c>
      <c r="H25" s="9">
        <f t="shared" si="0"/>
        <v>3792</v>
      </c>
      <c r="I25" s="10">
        <f t="shared" si="1"/>
        <v>10166</v>
      </c>
      <c r="J25" s="9">
        <f t="shared" si="2"/>
        <v>10874</v>
      </c>
      <c r="K25" s="9">
        <f t="shared" si="3"/>
        <v>10918</v>
      </c>
    </row>
    <row r="26" spans="1:14" x14ac:dyDescent="0.3">
      <c r="A26" s="7">
        <v>23</v>
      </c>
      <c r="B26" s="7">
        <v>2</v>
      </c>
      <c r="C26" s="2" t="s">
        <v>7</v>
      </c>
      <c r="D26" s="9">
        <f>Parameters!C4</f>
        <v>67</v>
      </c>
      <c r="E26" s="9">
        <f>Parameters!D4</f>
        <v>178</v>
      </c>
      <c r="F26" s="9">
        <f>Parameters!E4</f>
        <v>155</v>
      </c>
      <c r="G26" s="9">
        <f>Parameters!F4</f>
        <v>44</v>
      </c>
      <c r="H26" s="9">
        <f t="shared" si="0"/>
        <v>3859</v>
      </c>
      <c r="I26" s="10">
        <f t="shared" si="1"/>
        <v>10344</v>
      </c>
      <c r="J26" s="9">
        <f t="shared" si="2"/>
        <v>11029</v>
      </c>
      <c r="K26" s="9">
        <f t="shared" si="3"/>
        <v>11073</v>
      </c>
    </row>
    <row r="27" spans="1:14" x14ac:dyDescent="0.3">
      <c r="A27" s="7">
        <v>24</v>
      </c>
      <c r="B27" s="7">
        <v>2</v>
      </c>
      <c r="C27" s="2" t="s">
        <v>7</v>
      </c>
      <c r="D27" s="9">
        <f>Parameters!C4</f>
        <v>67</v>
      </c>
      <c r="E27" s="9">
        <f>Parameters!D4</f>
        <v>178</v>
      </c>
      <c r="F27" s="9">
        <f>Parameters!E4</f>
        <v>155</v>
      </c>
      <c r="G27" s="9">
        <f>Parameters!F4</f>
        <v>44</v>
      </c>
      <c r="H27" s="9">
        <f t="shared" si="0"/>
        <v>3926</v>
      </c>
      <c r="I27" s="10">
        <f t="shared" si="1"/>
        <v>10522</v>
      </c>
      <c r="J27" s="9">
        <f t="shared" si="2"/>
        <v>11184</v>
      </c>
      <c r="K27" s="9">
        <f t="shared" si="3"/>
        <v>11228</v>
      </c>
    </row>
    <row r="28" spans="1:14" x14ac:dyDescent="0.3">
      <c r="A28" s="7">
        <v>25</v>
      </c>
      <c r="B28" s="7">
        <v>2</v>
      </c>
      <c r="C28" s="2" t="s">
        <v>7</v>
      </c>
      <c r="D28" s="9">
        <f>Parameters!C4</f>
        <v>67</v>
      </c>
      <c r="E28" s="9">
        <f>Parameters!D4</f>
        <v>178</v>
      </c>
      <c r="F28" s="9">
        <f>Parameters!E4</f>
        <v>155</v>
      </c>
      <c r="G28" s="9">
        <f>Parameters!F4</f>
        <v>44</v>
      </c>
      <c r="H28" s="9">
        <f t="shared" si="0"/>
        <v>3993</v>
      </c>
      <c r="I28" s="10">
        <f t="shared" si="1"/>
        <v>10700</v>
      </c>
      <c r="J28" s="9">
        <f t="shared" si="2"/>
        <v>11339</v>
      </c>
      <c r="K28" s="9">
        <f t="shared" si="3"/>
        <v>11383</v>
      </c>
    </row>
    <row r="29" spans="1:14" x14ac:dyDescent="0.3">
      <c r="A29" s="7">
        <v>26</v>
      </c>
      <c r="B29" s="7">
        <v>2</v>
      </c>
      <c r="C29" s="3" t="s">
        <v>8</v>
      </c>
      <c r="D29" s="9">
        <f>Parameters!C5</f>
        <v>225</v>
      </c>
      <c r="E29" s="9">
        <f>Parameters!D5</f>
        <v>599</v>
      </c>
      <c r="F29" s="9">
        <f>Parameters!E5</f>
        <v>524</v>
      </c>
      <c r="G29" s="9">
        <f>Parameters!F5</f>
        <v>150</v>
      </c>
      <c r="H29" s="9">
        <f t="shared" si="0"/>
        <v>4218</v>
      </c>
      <c r="I29" s="10">
        <f t="shared" si="1"/>
        <v>11299</v>
      </c>
      <c r="J29" s="9">
        <f t="shared" si="2"/>
        <v>11863</v>
      </c>
      <c r="K29" s="9">
        <f t="shared" si="3"/>
        <v>12013</v>
      </c>
    </row>
    <row r="30" spans="1:14" x14ac:dyDescent="0.3">
      <c r="A30" s="7">
        <v>27</v>
      </c>
      <c r="B30" s="7">
        <v>2</v>
      </c>
      <c r="C30" s="3" t="s">
        <v>8</v>
      </c>
      <c r="D30" s="9">
        <f>Parameters!C5</f>
        <v>225</v>
      </c>
      <c r="E30" s="9">
        <f>Parameters!D5</f>
        <v>599</v>
      </c>
      <c r="F30" s="9">
        <f>Parameters!E5</f>
        <v>524</v>
      </c>
      <c r="G30" s="9">
        <f>Parameters!F5</f>
        <v>150</v>
      </c>
      <c r="H30" s="9">
        <f t="shared" si="0"/>
        <v>4443</v>
      </c>
      <c r="I30" s="10">
        <f t="shared" si="1"/>
        <v>11898</v>
      </c>
      <c r="J30" s="9">
        <f t="shared" si="2"/>
        <v>12422</v>
      </c>
      <c r="K30" s="9">
        <f t="shared" si="3"/>
        <v>12572</v>
      </c>
    </row>
    <row r="31" spans="1:14" x14ac:dyDescent="0.3">
      <c r="A31" s="7">
        <v>28</v>
      </c>
      <c r="B31" s="7">
        <v>2</v>
      </c>
      <c r="C31" s="4" t="s">
        <v>9</v>
      </c>
      <c r="D31" s="9">
        <f>Parameters!C6</f>
        <v>353</v>
      </c>
      <c r="E31" s="9">
        <f>Parameters!D6</f>
        <v>941</v>
      </c>
      <c r="F31" s="9">
        <f>Parameters!E6</f>
        <v>823</v>
      </c>
      <c r="G31" s="9">
        <f>Parameters!F6</f>
        <v>235</v>
      </c>
      <c r="H31" s="9">
        <f t="shared" si="0"/>
        <v>4796</v>
      </c>
      <c r="I31" s="10">
        <f t="shared" si="1"/>
        <v>12839</v>
      </c>
      <c r="J31" s="9">
        <f t="shared" si="2"/>
        <v>13662</v>
      </c>
      <c r="K31" s="9">
        <f t="shared" si="3"/>
        <v>13897</v>
      </c>
    </row>
    <row r="32" spans="1:14" x14ac:dyDescent="0.3">
      <c r="A32" s="7">
        <v>29</v>
      </c>
      <c r="B32" s="7">
        <v>2</v>
      </c>
      <c r="C32" s="4" t="s">
        <v>9</v>
      </c>
      <c r="D32" s="9">
        <f>Parameters!C6</f>
        <v>353</v>
      </c>
      <c r="E32" s="9">
        <f>Parameters!D6</f>
        <v>941</v>
      </c>
      <c r="F32" s="9">
        <f>Parameters!E6</f>
        <v>823</v>
      </c>
      <c r="G32" s="9">
        <f>Parameters!F6</f>
        <v>235</v>
      </c>
      <c r="H32" s="9">
        <f t="shared" si="0"/>
        <v>5149</v>
      </c>
      <c r="I32" s="10">
        <f t="shared" si="1"/>
        <v>13780</v>
      </c>
      <c r="J32" s="9">
        <f t="shared" si="2"/>
        <v>14603</v>
      </c>
      <c r="K32" s="9">
        <f t="shared" si="3"/>
        <v>14838</v>
      </c>
    </row>
    <row r="33" spans="1:11" x14ac:dyDescent="0.3">
      <c r="A33" s="7">
        <v>30</v>
      </c>
      <c r="B33" s="7">
        <v>2</v>
      </c>
      <c r="C33" s="4" t="s">
        <v>9</v>
      </c>
      <c r="D33" s="9">
        <f>Parameters!C6</f>
        <v>353</v>
      </c>
      <c r="E33" s="9">
        <f>Parameters!D6</f>
        <v>941</v>
      </c>
      <c r="F33" s="9">
        <f>Parameters!E6</f>
        <v>823</v>
      </c>
      <c r="G33" s="9">
        <f>Parameters!F6</f>
        <v>235</v>
      </c>
      <c r="H33" s="9">
        <f t="shared" si="0"/>
        <v>5502</v>
      </c>
      <c r="I33" s="10">
        <f t="shared" si="1"/>
        <v>14721</v>
      </c>
      <c r="J33" s="9">
        <f t="shared" si="2"/>
        <v>15544</v>
      </c>
      <c r="K33" s="9">
        <f t="shared" si="3"/>
        <v>15779</v>
      </c>
    </row>
    <row r="34" spans="1:11" x14ac:dyDescent="0.3">
      <c r="A34" s="7">
        <v>31</v>
      </c>
      <c r="B34" s="7">
        <v>2</v>
      </c>
      <c r="C34" s="4" t="s">
        <v>9</v>
      </c>
      <c r="D34" s="9">
        <f>Parameters!C6</f>
        <v>353</v>
      </c>
      <c r="E34" s="9">
        <f>Parameters!D6</f>
        <v>941</v>
      </c>
      <c r="F34" s="9">
        <f>Parameters!E6</f>
        <v>823</v>
      </c>
      <c r="G34" s="9">
        <f>Parameters!F6</f>
        <v>235</v>
      </c>
      <c r="H34" s="9">
        <f t="shared" si="0"/>
        <v>5855</v>
      </c>
      <c r="I34" s="10">
        <f t="shared" si="1"/>
        <v>15662</v>
      </c>
      <c r="J34" s="9">
        <f t="shared" si="2"/>
        <v>16485</v>
      </c>
      <c r="K34" s="9">
        <f t="shared" si="3"/>
        <v>16720</v>
      </c>
    </row>
    <row r="35" spans="1:11" x14ac:dyDescent="0.3">
      <c r="A35" s="7">
        <v>32</v>
      </c>
      <c r="B35" s="7">
        <v>2</v>
      </c>
      <c r="C35" s="4" t="s">
        <v>9</v>
      </c>
      <c r="D35" s="9">
        <f>Parameters!C6</f>
        <v>353</v>
      </c>
      <c r="E35" s="9">
        <f>Parameters!D6</f>
        <v>941</v>
      </c>
      <c r="F35" s="9">
        <f>Parameters!E6</f>
        <v>823</v>
      </c>
      <c r="G35" s="9">
        <f>Parameters!F6</f>
        <v>235</v>
      </c>
      <c r="H35" s="9">
        <f t="shared" si="0"/>
        <v>6208</v>
      </c>
      <c r="I35" s="10">
        <f t="shared" si="1"/>
        <v>16603</v>
      </c>
      <c r="J35" s="9">
        <f t="shared" si="2"/>
        <v>17426</v>
      </c>
      <c r="K35" s="9">
        <f t="shared" si="3"/>
        <v>17661</v>
      </c>
    </row>
    <row r="36" spans="1:11" x14ac:dyDescent="0.3">
      <c r="A36" s="7">
        <v>33</v>
      </c>
      <c r="B36" s="7">
        <v>2</v>
      </c>
      <c r="C36" s="4" t="s">
        <v>9</v>
      </c>
      <c r="D36" s="9">
        <f>Parameters!C6</f>
        <v>353</v>
      </c>
      <c r="E36" s="9">
        <f>Parameters!D6</f>
        <v>941</v>
      </c>
      <c r="F36" s="9">
        <f>Parameters!E6</f>
        <v>823</v>
      </c>
      <c r="G36" s="9">
        <f>Parameters!F6</f>
        <v>235</v>
      </c>
      <c r="H36" s="9">
        <f t="shared" si="0"/>
        <v>6561</v>
      </c>
      <c r="I36" s="10">
        <f t="shared" si="1"/>
        <v>17544</v>
      </c>
      <c r="J36" s="9">
        <f t="shared" si="2"/>
        <v>18367</v>
      </c>
      <c r="K36" s="9">
        <f t="shared" si="3"/>
        <v>18602</v>
      </c>
    </row>
    <row r="37" spans="1:11" x14ac:dyDescent="0.3">
      <c r="A37" s="7">
        <v>34</v>
      </c>
      <c r="B37" s="7">
        <v>2</v>
      </c>
      <c r="C37" s="4" t="s">
        <v>9</v>
      </c>
      <c r="D37" s="9">
        <f>Parameters!C6</f>
        <v>353</v>
      </c>
      <c r="E37" s="9">
        <f>Parameters!D6</f>
        <v>941</v>
      </c>
      <c r="F37" s="9">
        <f>Parameters!E6</f>
        <v>823</v>
      </c>
      <c r="G37" s="9">
        <f>Parameters!F6</f>
        <v>235</v>
      </c>
      <c r="H37" s="9">
        <f t="shared" ref="H37:H68" si="4">H36+D37</f>
        <v>6914</v>
      </c>
      <c r="I37" s="10">
        <f t="shared" ref="I37:I68" si="5">MAX(H37,I36)+E37</f>
        <v>18485</v>
      </c>
      <c r="J37" s="9">
        <f t="shared" ref="J37:J68" si="6">MAX(I37,J36)+F37</f>
        <v>19308</v>
      </c>
      <c r="K37" s="9">
        <f t="shared" ref="K37:K68" si="7">MAX(J37,K36)+G37</f>
        <v>19543</v>
      </c>
    </row>
    <row r="38" spans="1:11" x14ac:dyDescent="0.3">
      <c r="A38" s="7">
        <v>35</v>
      </c>
      <c r="B38" s="7">
        <v>3</v>
      </c>
      <c r="C38" s="2" t="s">
        <v>7</v>
      </c>
      <c r="D38" s="9">
        <f>Parameters!C4</f>
        <v>67</v>
      </c>
      <c r="E38" s="9">
        <f>Parameters!D4</f>
        <v>178</v>
      </c>
      <c r="F38" s="9">
        <f>Parameters!E4</f>
        <v>155</v>
      </c>
      <c r="G38" s="9">
        <f>Parameters!F4</f>
        <v>44</v>
      </c>
      <c r="H38" s="9">
        <f t="shared" si="4"/>
        <v>6981</v>
      </c>
      <c r="I38" s="10">
        <f t="shared" si="5"/>
        <v>18663</v>
      </c>
      <c r="J38" s="9">
        <f t="shared" si="6"/>
        <v>19463</v>
      </c>
      <c r="K38" s="9">
        <f t="shared" si="7"/>
        <v>19587</v>
      </c>
    </row>
    <row r="39" spans="1:11" x14ac:dyDescent="0.3">
      <c r="A39" s="7">
        <v>36</v>
      </c>
      <c r="B39" s="7">
        <v>3</v>
      </c>
      <c r="C39" s="2" t="s">
        <v>7</v>
      </c>
      <c r="D39" s="9">
        <f>Parameters!C4</f>
        <v>67</v>
      </c>
      <c r="E39" s="9">
        <f>Parameters!D4</f>
        <v>178</v>
      </c>
      <c r="F39" s="9">
        <f>Parameters!E4</f>
        <v>155</v>
      </c>
      <c r="G39" s="9">
        <f>Parameters!F4</f>
        <v>44</v>
      </c>
      <c r="H39" s="9">
        <f t="shared" si="4"/>
        <v>7048</v>
      </c>
      <c r="I39" s="10">
        <f t="shared" si="5"/>
        <v>18841</v>
      </c>
      <c r="J39" s="9">
        <f t="shared" si="6"/>
        <v>19618</v>
      </c>
      <c r="K39" s="9">
        <f t="shared" si="7"/>
        <v>19662</v>
      </c>
    </row>
    <row r="40" spans="1:11" x14ac:dyDescent="0.3">
      <c r="A40" s="7">
        <v>37</v>
      </c>
      <c r="B40" s="7">
        <v>3</v>
      </c>
      <c r="C40" s="2" t="s">
        <v>7</v>
      </c>
      <c r="D40" s="9">
        <f>Parameters!C4</f>
        <v>67</v>
      </c>
      <c r="E40" s="9">
        <f>Parameters!D4</f>
        <v>178</v>
      </c>
      <c r="F40" s="9">
        <f>Parameters!E4</f>
        <v>155</v>
      </c>
      <c r="G40" s="9">
        <f>Parameters!F4</f>
        <v>44</v>
      </c>
      <c r="H40" s="9">
        <f t="shared" si="4"/>
        <v>7115</v>
      </c>
      <c r="I40" s="10">
        <f t="shared" si="5"/>
        <v>19019</v>
      </c>
      <c r="J40" s="9">
        <f t="shared" si="6"/>
        <v>19773</v>
      </c>
      <c r="K40" s="9">
        <f t="shared" si="7"/>
        <v>19817</v>
      </c>
    </row>
    <row r="41" spans="1:11" x14ac:dyDescent="0.3">
      <c r="A41" s="7">
        <v>38</v>
      </c>
      <c r="B41" s="7">
        <v>3</v>
      </c>
      <c r="C41" s="2" t="s">
        <v>7</v>
      </c>
      <c r="D41" s="9">
        <f>Parameters!C4</f>
        <v>67</v>
      </c>
      <c r="E41" s="9">
        <f>Parameters!D4</f>
        <v>178</v>
      </c>
      <c r="F41" s="9">
        <f>Parameters!E4</f>
        <v>155</v>
      </c>
      <c r="G41" s="9">
        <f>Parameters!F4</f>
        <v>44</v>
      </c>
      <c r="H41" s="9">
        <f t="shared" si="4"/>
        <v>7182</v>
      </c>
      <c r="I41" s="10">
        <f t="shared" si="5"/>
        <v>19197</v>
      </c>
      <c r="J41" s="9">
        <f t="shared" si="6"/>
        <v>19928</v>
      </c>
      <c r="K41" s="9">
        <f t="shared" si="7"/>
        <v>19972</v>
      </c>
    </row>
    <row r="42" spans="1:11" x14ac:dyDescent="0.3">
      <c r="A42" s="7">
        <v>39</v>
      </c>
      <c r="B42" s="7">
        <v>3</v>
      </c>
      <c r="C42" s="2" t="s">
        <v>7</v>
      </c>
      <c r="D42" s="9">
        <f>Parameters!C4</f>
        <v>67</v>
      </c>
      <c r="E42" s="9">
        <f>Parameters!D4</f>
        <v>178</v>
      </c>
      <c r="F42" s="9">
        <f>Parameters!E4</f>
        <v>155</v>
      </c>
      <c r="G42" s="9">
        <f>Parameters!F4</f>
        <v>44</v>
      </c>
      <c r="H42" s="9">
        <f t="shared" si="4"/>
        <v>7249</v>
      </c>
      <c r="I42" s="10">
        <f t="shared" si="5"/>
        <v>19375</v>
      </c>
      <c r="J42" s="9">
        <f t="shared" si="6"/>
        <v>20083</v>
      </c>
      <c r="K42" s="9">
        <f t="shared" si="7"/>
        <v>20127</v>
      </c>
    </row>
    <row r="43" spans="1:11" x14ac:dyDescent="0.3">
      <c r="A43" s="7">
        <v>40</v>
      </c>
      <c r="B43" s="7">
        <v>3</v>
      </c>
      <c r="C43" s="2" t="s">
        <v>7</v>
      </c>
      <c r="D43" s="9">
        <f>Parameters!C4</f>
        <v>67</v>
      </c>
      <c r="E43" s="9">
        <f>Parameters!D4</f>
        <v>178</v>
      </c>
      <c r="F43" s="9">
        <f>Parameters!E4</f>
        <v>155</v>
      </c>
      <c r="G43" s="9">
        <f>Parameters!F4</f>
        <v>44</v>
      </c>
      <c r="H43" s="9">
        <f t="shared" si="4"/>
        <v>7316</v>
      </c>
      <c r="I43" s="10">
        <f t="shared" si="5"/>
        <v>19553</v>
      </c>
      <c r="J43" s="9">
        <f t="shared" si="6"/>
        <v>20238</v>
      </c>
      <c r="K43" s="9">
        <f t="shared" si="7"/>
        <v>20282</v>
      </c>
    </row>
    <row r="44" spans="1:11" x14ac:dyDescent="0.3">
      <c r="A44" s="7">
        <v>41</v>
      </c>
      <c r="B44" s="7">
        <v>3</v>
      </c>
      <c r="C44" s="2" t="s">
        <v>7</v>
      </c>
      <c r="D44" s="9">
        <f>Parameters!C4</f>
        <v>67</v>
      </c>
      <c r="E44" s="9">
        <f>Parameters!D4</f>
        <v>178</v>
      </c>
      <c r="F44" s="9">
        <f>Parameters!E4</f>
        <v>155</v>
      </c>
      <c r="G44" s="9">
        <f>Parameters!F4</f>
        <v>44</v>
      </c>
      <c r="H44" s="9">
        <f t="shared" si="4"/>
        <v>7383</v>
      </c>
      <c r="I44" s="10">
        <f t="shared" si="5"/>
        <v>19731</v>
      </c>
      <c r="J44" s="9">
        <f t="shared" si="6"/>
        <v>20393</v>
      </c>
      <c r="K44" s="9">
        <f t="shared" si="7"/>
        <v>20437</v>
      </c>
    </row>
    <row r="45" spans="1:11" x14ac:dyDescent="0.3">
      <c r="A45" s="7">
        <v>42</v>
      </c>
      <c r="B45" s="7">
        <v>3</v>
      </c>
      <c r="C45" s="2" t="s">
        <v>7</v>
      </c>
      <c r="D45" s="9">
        <f>Parameters!C4</f>
        <v>67</v>
      </c>
      <c r="E45" s="9">
        <f>Parameters!D4</f>
        <v>178</v>
      </c>
      <c r="F45" s="9">
        <f>Parameters!E4</f>
        <v>155</v>
      </c>
      <c r="G45" s="9">
        <f>Parameters!F4</f>
        <v>44</v>
      </c>
      <c r="H45" s="9">
        <f t="shared" si="4"/>
        <v>7450</v>
      </c>
      <c r="I45" s="10">
        <f t="shared" si="5"/>
        <v>19909</v>
      </c>
      <c r="J45" s="9">
        <f t="shared" si="6"/>
        <v>20548</v>
      </c>
      <c r="K45" s="9">
        <f t="shared" si="7"/>
        <v>20592</v>
      </c>
    </row>
    <row r="46" spans="1:11" x14ac:dyDescent="0.3">
      <c r="A46" s="7">
        <v>43</v>
      </c>
      <c r="B46" s="7">
        <v>3</v>
      </c>
      <c r="C46" s="3" t="s">
        <v>8</v>
      </c>
      <c r="D46" s="9">
        <f>Parameters!C5</f>
        <v>225</v>
      </c>
      <c r="E46" s="9">
        <f>Parameters!D5</f>
        <v>599</v>
      </c>
      <c r="F46" s="9">
        <f>Parameters!E5</f>
        <v>524</v>
      </c>
      <c r="G46" s="9">
        <f>Parameters!F5</f>
        <v>150</v>
      </c>
      <c r="H46" s="9">
        <f t="shared" si="4"/>
        <v>7675</v>
      </c>
      <c r="I46" s="10">
        <f t="shared" si="5"/>
        <v>20508</v>
      </c>
      <c r="J46" s="9">
        <f t="shared" si="6"/>
        <v>21072</v>
      </c>
      <c r="K46" s="9">
        <f t="shared" si="7"/>
        <v>21222</v>
      </c>
    </row>
    <row r="47" spans="1:11" x14ac:dyDescent="0.3">
      <c r="A47" s="7">
        <v>44</v>
      </c>
      <c r="B47" s="7">
        <v>3</v>
      </c>
      <c r="C47" s="3" t="s">
        <v>8</v>
      </c>
      <c r="D47" s="9">
        <f>Parameters!C5</f>
        <v>225</v>
      </c>
      <c r="E47" s="9">
        <f>Parameters!D5</f>
        <v>599</v>
      </c>
      <c r="F47" s="9">
        <f>Parameters!E5</f>
        <v>524</v>
      </c>
      <c r="G47" s="9">
        <f>Parameters!F5</f>
        <v>150</v>
      </c>
      <c r="H47" s="9">
        <f t="shared" si="4"/>
        <v>7900</v>
      </c>
      <c r="I47" s="10">
        <f t="shared" si="5"/>
        <v>21107</v>
      </c>
      <c r="J47" s="9">
        <f t="shared" si="6"/>
        <v>21631</v>
      </c>
      <c r="K47" s="9">
        <f t="shared" si="7"/>
        <v>21781</v>
      </c>
    </row>
    <row r="48" spans="1:11" x14ac:dyDescent="0.3">
      <c r="A48" s="7">
        <v>45</v>
      </c>
      <c r="B48" s="7">
        <v>3</v>
      </c>
      <c r="C48" s="4" t="s">
        <v>9</v>
      </c>
      <c r="D48" s="9">
        <f>Parameters!C6</f>
        <v>353</v>
      </c>
      <c r="E48" s="9">
        <f>Parameters!D6</f>
        <v>941</v>
      </c>
      <c r="F48" s="9">
        <f>Parameters!E6</f>
        <v>823</v>
      </c>
      <c r="G48" s="9">
        <f>Parameters!F6</f>
        <v>235</v>
      </c>
      <c r="H48" s="9">
        <f t="shared" si="4"/>
        <v>8253</v>
      </c>
      <c r="I48" s="10">
        <f t="shared" si="5"/>
        <v>22048</v>
      </c>
      <c r="J48" s="9">
        <f t="shared" si="6"/>
        <v>22871</v>
      </c>
      <c r="K48" s="9">
        <f t="shared" si="7"/>
        <v>23106</v>
      </c>
    </row>
    <row r="49" spans="1:11" x14ac:dyDescent="0.3">
      <c r="A49" s="7">
        <v>46</v>
      </c>
      <c r="B49" s="7">
        <v>3</v>
      </c>
      <c r="C49" s="4" t="s">
        <v>9</v>
      </c>
      <c r="D49" s="9">
        <f>Parameters!C6</f>
        <v>353</v>
      </c>
      <c r="E49" s="9">
        <f>Parameters!D6</f>
        <v>941</v>
      </c>
      <c r="F49" s="9">
        <f>Parameters!E6</f>
        <v>823</v>
      </c>
      <c r="G49" s="9">
        <f>Parameters!F6</f>
        <v>235</v>
      </c>
      <c r="H49" s="9">
        <f t="shared" si="4"/>
        <v>8606</v>
      </c>
      <c r="I49" s="10">
        <f t="shared" si="5"/>
        <v>22989</v>
      </c>
      <c r="J49" s="9">
        <f t="shared" si="6"/>
        <v>23812</v>
      </c>
      <c r="K49" s="9">
        <f t="shared" si="7"/>
        <v>24047</v>
      </c>
    </row>
    <row r="50" spans="1:11" x14ac:dyDescent="0.3">
      <c r="A50" s="7">
        <v>47</v>
      </c>
      <c r="B50" s="7">
        <v>3</v>
      </c>
      <c r="C50" s="4" t="s">
        <v>9</v>
      </c>
      <c r="D50" s="9">
        <f>Parameters!C6</f>
        <v>353</v>
      </c>
      <c r="E50" s="9">
        <f>Parameters!D6</f>
        <v>941</v>
      </c>
      <c r="F50" s="9">
        <f>Parameters!E6</f>
        <v>823</v>
      </c>
      <c r="G50" s="9">
        <f>Parameters!F6</f>
        <v>235</v>
      </c>
      <c r="H50" s="9">
        <f t="shared" si="4"/>
        <v>8959</v>
      </c>
      <c r="I50" s="10">
        <f t="shared" si="5"/>
        <v>23930</v>
      </c>
      <c r="J50" s="9">
        <f t="shared" si="6"/>
        <v>24753</v>
      </c>
      <c r="K50" s="9">
        <f t="shared" si="7"/>
        <v>24988</v>
      </c>
    </row>
    <row r="51" spans="1:11" x14ac:dyDescent="0.3">
      <c r="A51" s="7">
        <v>48</v>
      </c>
      <c r="B51" s="7">
        <v>3</v>
      </c>
      <c r="C51" s="4" t="s">
        <v>9</v>
      </c>
      <c r="D51" s="9">
        <f>Parameters!C6</f>
        <v>353</v>
      </c>
      <c r="E51" s="9">
        <f>Parameters!D6</f>
        <v>941</v>
      </c>
      <c r="F51" s="9">
        <f>Parameters!E6</f>
        <v>823</v>
      </c>
      <c r="G51" s="9">
        <f>Parameters!F6</f>
        <v>235</v>
      </c>
      <c r="H51" s="9">
        <f t="shared" si="4"/>
        <v>9312</v>
      </c>
      <c r="I51" s="10">
        <f t="shared" si="5"/>
        <v>24871</v>
      </c>
      <c r="J51" s="9">
        <f t="shared" si="6"/>
        <v>25694</v>
      </c>
      <c r="K51" s="9">
        <f t="shared" si="7"/>
        <v>25929</v>
      </c>
    </row>
    <row r="52" spans="1:11" x14ac:dyDescent="0.3">
      <c r="A52" s="7">
        <v>49</v>
      </c>
      <c r="B52" s="7">
        <v>3</v>
      </c>
      <c r="C52" s="4" t="s">
        <v>9</v>
      </c>
      <c r="D52" s="9">
        <f>Parameters!C6</f>
        <v>353</v>
      </c>
      <c r="E52" s="9">
        <f>Parameters!D6</f>
        <v>941</v>
      </c>
      <c r="F52" s="9">
        <f>Parameters!E6</f>
        <v>823</v>
      </c>
      <c r="G52" s="9">
        <f>Parameters!F6</f>
        <v>235</v>
      </c>
      <c r="H52" s="9">
        <f t="shared" si="4"/>
        <v>9665</v>
      </c>
      <c r="I52" s="10">
        <f t="shared" si="5"/>
        <v>25812</v>
      </c>
      <c r="J52" s="9">
        <f t="shared" si="6"/>
        <v>26635</v>
      </c>
      <c r="K52" s="9">
        <f t="shared" si="7"/>
        <v>26870</v>
      </c>
    </row>
    <row r="53" spans="1:11" x14ac:dyDescent="0.3">
      <c r="A53" s="7">
        <v>50</v>
      </c>
      <c r="B53" s="7">
        <v>3</v>
      </c>
      <c r="C53" s="4" t="s">
        <v>9</v>
      </c>
      <c r="D53" s="9">
        <f>Parameters!C6</f>
        <v>353</v>
      </c>
      <c r="E53" s="9">
        <f>Parameters!D6</f>
        <v>941</v>
      </c>
      <c r="F53" s="9">
        <f>Parameters!E6</f>
        <v>823</v>
      </c>
      <c r="G53" s="9">
        <f>Parameters!F6</f>
        <v>235</v>
      </c>
      <c r="H53" s="9">
        <f t="shared" si="4"/>
        <v>10018</v>
      </c>
      <c r="I53" s="10">
        <f t="shared" si="5"/>
        <v>26753</v>
      </c>
      <c r="J53" s="9">
        <f t="shared" si="6"/>
        <v>27576</v>
      </c>
      <c r="K53" s="9">
        <f t="shared" si="7"/>
        <v>27811</v>
      </c>
    </row>
    <row r="54" spans="1:11" x14ac:dyDescent="0.3">
      <c r="A54" s="7">
        <v>51</v>
      </c>
      <c r="B54" s="7">
        <v>3</v>
      </c>
      <c r="C54" s="4" t="s">
        <v>9</v>
      </c>
      <c r="D54" s="9">
        <f>Parameters!C6</f>
        <v>353</v>
      </c>
      <c r="E54" s="9">
        <f>Parameters!D6</f>
        <v>941</v>
      </c>
      <c r="F54" s="9">
        <f>Parameters!E6</f>
        <v>823</v>
      </c>
      <c r="G54" s="9">
        <f>Parameters!F6</f>
        <v>235</v>
      </c>
      <c r="H54" s="9">
        <f t="shared" si="4"/>
        <v>10371</v>
      </c>
      <c r="I54" s="10">
        <f t="shared" si="5"/>
        <v>27694</v>
      </c>
      <c r="J54" s="9">
        <f t="shared" si="6"/>
        <v>28517</v>
      </c>
      <c r="K54" s="9">
        <f t="shared" si="7"/>
        <v>28752</v>
      </c>
    </row>
    <row r="55" spans="1:11" x14ac:dyDescent="0.3">
      <c r="A55" s="7">
        <v>52</v>
      </c>
      <c r="B55" s="7">
        <v>4</v>
      </c>
      <c r="C55" s="2" t="s">
        <v>7</v>
      </c>
      <c r="D55" s="9">
        <f>Parameters!C4</f>
        <v>67</v>
      </c>
      <c r="E55" s="9">
        <f>Parameters!D4</f>
        <v>178</v>
      </c>
      <c r="F55" s="9">
        <f>Parameters!E4</f>
        <v>155</v>
      </c>
      <c r="G55" s="9">
        <f>Parameters!F4</f>
        <v>44</v>
      </c>
      <c r="H55" s="9">
        <f t="shared" si="4"/>
        <v>10438</v>
      </c>
      <c r="I55" s="10">
        <f t="shared" si="5"/>
        <v>27872</v>
      </c>
      <c r="J55" s="9">
        <f t="shared" si="6"/>
        <v>28672</v>
      </c>
      <c r="K55" s="9">
        <f t="shared" si="7"/>
        <v>28796</v>
      </c>
    </row>
    <row r="56" spans="1:11" x14ac:dyDescent="0.3">
      <c r="A56" s="7">
        <v>53</v>
      </c>
      <c r="B56" s="7">
        <v>4</v>
      </c>
      <c r="C56" s="2" t="s">
        <v>7</v>
      </c>
      <c r="D56" s="9">
        <f>Parameters!C4</f>
        <v>67</v>
      </c>
      <c r="E56" s="9">
        <f>Parameters!D4</f>
        <v>178</v>
      </c>
      <c r="F56" s="9">
        <f>Parameters!E4</f>
        <v>155</v>
      </c>
      <c r="G56" s="9">
        <f>Parameters!F4</f>
        <v>44</v>
      </c>
      <c r="H56" s="9">
        <f t="shared" si="4"/>
        <v>10505</v>
      </c>
      <c r="I56" s="10">
        <f t="shared" si="5"/>
        <v>28050</v>
      </c>
      <c r="J56" s="9">
        <f t="shared" si="6"/>
        <v>28827</v>
      </c>
      <c r="K56" s="9">
        <f t="shared" si="7"/>
        <v>28871</v>
      </c>
    </row>
    <row r="57" spans="1:11" x14ac:dyDescent="0.3">
      <c r="A57" s="7">
        <v>54</v>
      </c>
      <c r="B57" s="7">
        <v>4</v>
      </c>
      <c r="C57" s="2" t="s">
        <v>7</v>
      </c>
      <c r="D57" s="9">
        <f>Parameters!C4</f>
        <v>67</v>
      </c>
      <c r="E57" s="9">
        <f>Parameters!D4</f>
        <v>178</v>
      </c>
      <c r="F57" s="9">
        <f>Parameters!E4</f>
        <v>155</v>
      </c>
      <c r="G57" s="9">
        <f>Parameters!F4</f>
        <v>44</v>
      </c>
      <c r="H57" s="9">
        <f t="shared" si="4"/>
        <v>10572</v>
      </c>
      <c r="I57" s="10">
        <f t="shared" si="5"/>
        <v>28228</v>
      </c>
      <c r="J57" s="9">
        <f t="shared" si="6"/>
        <v>28982</v>
      </c>
      <c r="K57" s="9">
        <f t="shared" si="7"/>
        <v>29026</v>
      </c>
    </row>
    <row r="58" spans="1:11" x14ac:dyDescent="0.3">
      <c r="A58" s="7">
        <v>55</v>
      </c>
      <c r="B58" s="7">
        <v>4</v>
      </c>
      <c r="C58" s="2" t="s">
        <v>7</v>
      </c>
      <c r="D58" s="9">
        <f>Parameters!C4</f>
        <v>67</v>
      </c>
      <c r="E58" s="9">
        <f>Parameters!D4</f>
        <v>178</v>
      </c>
      <c r="F58" s="9">
        <f>Parameters!E4</f>
        <v>155</v>
      </c>
      <c r="G58" s="9">
        <f>Parameters!F4</f>
        <v>44</v>
      </c>
      <c r="H58" s="9">
        <f t="shared" si="4"/>
        <v>10639</v>
      </c>
      <c r="I58" s="10">
        <f t="shared" si="5"/>
        <v>28406</v>
      </c>
      <c r="J58" s="9">
        <f t="shared" si="6"/>
        <v>29137</v>
      </c>
      <c r="K58" s="9">
        <f t="shared" si="7"/>
        <v>29181</v>
      </c>
    </row>
    <row r="59" spans="1:11" x14ac:dyDescent="0.3">
      <c r="A59" s="7">
        <v>56</v>
      </c>
      <c r="B59" s="7">
        <v>4</v>
      </c>
      <c r="C59" s="2" t="s">
        <v>7</v>
      </c>
      <c r="D59" s="9">
        <f>Parameters!C4</f>
        <v>67</v>
      </c>
      <c r="E59" s="9">
        <f>Parameters!D4</f>
        <v>178</v>
      </c>
      <c r="F59" s="9">
        <f>Parameters!E4</f>
        <v>155</v>
      </c>
      <c r="G59" s="9">
        <f>Parameters!F4</f>
        <v>44</v>
      </c>
      <c r="H59" s="9">
        <f t="shared" si="4"/>
        <v>10706</v>
      </c>
      <c r="I59" s="10">
        <f t="shared" si="5"/>
        <v>28584</v>
      </c>
      <c r="J59" s="9">
        <f t="shared" si="6"/>
        <v>29292</v>
      </c>
      <c r="K59" s="9">
        <f t="shared" si="7"/>
        <v>29336</v>
      </c>
    </row>
    <row r="60" spans="1:11" x14ac:dyDescent="0.3">
      <c r="A60" s="7">
        <v>57</v>
      </c>
      <c r="B60" s="7">
        <v>4</v>
      </c>
      <c r="C60" s="2" t="s">
        <v>7</v>
      </c>
      <c r="D60" s="9">
        <f>Parameters!C4</f>
        <v>67</v>
      </c>
      <c r="E60" s="9">
        <f>Parameters!D4</f>
        <v>178</v>
      </c>
      <c r="F60" s="9">
        <f>Parameters!E4</f>
        <v>155</v>
      </c>
      <c r="G60" s="9">
        <f>Parameters!F4</f>
        <v>44</v>
      </c>
      <c r="H60" s="9">
        <f t="shared" si="4"/>
        <v>10773</v>
      </c>
      <c r="I60" s="10">
        <f t="shared" si="5"/>
        <v>28762</v>
      </c>
      <c r="J60" s="9">
        <f t="shared" si="6"/>
        <v>29447</v>
      </c>
      <c r="K60" s="9">
        <f t="shared" si="7"/>
        <v>29491</v>
      </c>
    </row>
    <row r="61" spans="1:11" x14ac:dyDescent="0.3">
      <c r="A61" s="7">
        <v>58</v>
      </c>
      <c r="B61" s="7">
        <v>4</v>
      </c>
      <c r="C61" s="2" t="s">
        <v>7</v>
      </c>
      <c r="D61" s="9">
        <f>Parameters!C4</f>
        <v>67</v>
      </c>
      <c r="E61" s="9">
        <f>Parameters!D4</f>
        <v>178</v>
      </c>
      <c r="F61" s="9">
        <f>Parameters!E4</f>
        <v>155</v>
      </c>
      <c r="G61" s="9">
        <f>Parameters!F4</f>
        <v>44</v>
      </c>
      <c r="H61" s="9">
        <f t="shared" si="4"/>
        <v>10840</v>
      </c>
      <c r="I61" s="10">
        <f t="shared" si="5"/>
        <v>28940</v>
      </c>
      <c r="J61" s="9">
        <f t="shared" si="6"/>
        <v>29602</v>
      </c>
      <c r="K61" s="9">
        <f t="shared" si="7"/>
        <v>29646</v>
      </c>
    </row>
    <row r="62" spans="1:11" x14ac:dyDescent="0.3">
      <c r="A62" s="7">
        <v>59</v>
      </c>
      <c r="B62" s="7">
        <v>4</v>
      </c>
      <c r="C62" s="2" t="s">
        <v>7</v>
      </c>
      <c r="D62" s="9">
        <f>Parameters!C4</f>
        <v>67</v>
      </c>
      <c r="E62" s="9">
        <f>Parameters!D4</f>
        <v>178</v>
      </c>
      <c r="F62" s="9">
        <f>Parameters!E4</f>
        <v>155</v>
      </c>
      <c r="G62" s="9">
        <f>Parameters!F4</f>
        <v>44</v>
      </c>
      <c r="H62" s="9">
        <f t="shared" si="4"/>
        <v>10907</v>
      </c>
      <c r="I62" s="10">
        <f t="shared" si="5"/>
        <v>29118</v>
      </c>
      <c r="J62" s="9">
        <f t="shared" si="6"/>
        <v>29757</v>
      </c>
      <c r="K62" s="9">
        <f t="shared" si="7"/>
        <v>29801</v>
      </c>
    </row>
    <row r="63" spans="1:11" x14ac:dyDescent="0.3">
      <c r="A63" s="7">
        <v>60</v>
      </c>
      <c r="B63" s="7">
        <v>4</v>
      </c>
      <c r="C63" s="3" t="s">
        <v>8</v>
      </c>
      <c r="D63" s="9">
        <f>Parameters!C5</f>
        <v>225</v>
      </c>
      <c r="E63" s="9">
        <f>Parameters!D5</f>
        <v>599</v>
      </c>
      <c r="F63" s="9">
        <f>Parameters!E5</f>
        <v>524</v>
      </c>
      <c r="G63" s="9">
        <f>Parameters!F5</f>
        <v>150</v>
      </c>
      <c r="H63" s="9">
        <f t="shared" si="4"/>
        <v>11132</v>
      </c>
      <c r="I63" s="10">
        <f t="shared" si="5"/>
        <v>29717</v>
      </c>
      <c r="J63" s="9">
        <f t="shared" si="6"/>
        <v>30281</v>
      </c>
      <c r="K63" s="9">
        <f t="shared" si="7"/>
        <v>30431</v>
      </c>
    </row>
    <row r="64" spans="1:11" x14ac:dyDescent="0.3">
      <c r="A64" s="7">
        <v>61</v>
      </c>
      <c r="B64" s="7">
        <v>4</v>
      </c>
      <c r="C64" s="3" t="s">
        <v>8</v>
      </c>
      <c r="D64" s="9">
        <f>Parameters!C5</f>
        <v>225</v>
      </c>
      <c r="E64" s="9">
        <f>Parameters!D5</f>
        <v>599</v>
      </c>
      <c r="F64" s="9">
        <f>Parameters!E5</f>
        <v>524</v>
      </c>
      <c r="G64" s="9">
        <f>Parameters!F5</f>
        <v>150</v>
      </c>
      <c r="H64" s="9">
        <f t="shared" si="4"/>
        <v>11357</v>
      </c>
      <c r="I64" s="10">
        <f t="shared" si="5"/>
        <v>30316</v>
      </c>
      <c r="J64" s="9">
        <f t="shared" si="6"/>
        <v>30840</v>
      </c>
      <c r="K64" s="9">
        <f t="shared" si="7"/>
        <v>30990</v>
      </c>
    </row>
    <row r="65" spans="1:11" x14ac:dyDescent="0.3">
      <c r="A65" s="7">
        <v>62</v>
      </c>
      <c r="B65" s="7">
        <v>4</v>
      </c>
      <c r="C65" s="4" t="s">
        <v>9</v>
      </c>
      <c r="D65" s="9">
        <f>Parameters!C6</f>
        <v>353</v>
      </c>
      <c r="E65" s="9">
        <f>Parameters!D6</f>
        <v>941</v>
      </c>
      <c r="F65" s="9">
        <f>Parameters!E6</f>
        <v>823</v>
      </c>
      <c r="G65" s="9">
        <f>Parameters!F6</f>
        <v>235</v>
      </c>
      <c r="H65" s="9">
        <f t="shared" si="4"/>
        <v>11710</v>
      </c>
      <c r="I65" s="10">
        <f t="shared" si="5"/>
        <v>31257</v>
      </c>
      <c r="J65" s="9">
        <f t="shared" si="6"/>
        <v>32080</v>
      </c>
      <c r="K65" s="9">
        <f t="shared" si="7"/>
        <v>32315</v>
      </c>
    </row>
    <row r="66" spans="1:11" x14ac:dyDescent="0.3">
      <c r="A66" s="7">
        <v>63</v>
      </c>
      <c r="B66" s="7">
        <v>4</v>
      </c>
      <c r="C66" s="4" t="s">
        <v>9</v>
      </c>
      <c r="D66" s="9">
        <f>Parameters!C6</f>
        <v>353</v>
      </c>
      <c r="E66" s="9">
        <f>Parameters!D6</f>
        <v>941</v>
      </c>
      <c r="F66" s="9">
        <f>Parameters!E6</f>
        <v>823</v>
      </c>
      <c r="G66" s="9">
        <f>Parameters!F6</f>
        <v>235</v>
      </c>
      <c r="H66" s="9">
        <f t="shared" si="4"/>
        <v>12063</v>
      </c>
      <c r="I66" s="10">
        <f t="shared" si="5"/>
        <v>32198</v>
      </c>
      <c r="J66" s="9">
        <f t="shared" si="6"/>
        <v>33021</v>
      </c>
      <c r="K66" s="9">
        <f t="shared" si="7"/>
        <v>33256</v>
      </c>
    </row>
    <row r="67" spans="1:11" x14ac:dyDescent="0.3">
      <c r="A67" s="7">
        <v>64</v>
      </c>
      <c r="B67" s="7">
        <v>4</v>
      </c>
      <c r="C67" s="4" t="s">
        <v>9</v>
      </c>
      <c r="D67" s="9">
        <f>Parameters!C6</f>
        <v>353</v>
      </c>
      <c r="E67" s="9">
        <f>Parameters!D6</f>
        <v>941</v>
      </c>
      <c r="F67" s="9">
        <f>Parameters!E6</f>
        <v>823</v>
      </c>
      <c r="G67" s="9">
        <f>Parameters!F6</f>
        <v>235</v>
      </c>
      <c r="H67" s="9">
        <f t="shared" si="4"/>
        <v>12416</v>
      </c>
      <c r="I67" s="10">
        <f t="shared" si="5"/>
        <v>33139</v>
      </c>
      <c r="J67" s="9">
        <f t="shared" si="6"/>
        <v>33962</v>
      </c>
      <c r="K67" s="9">
        <f t="shared" si="7"/>
        <v>34197</v>
      </c>
    </row>
    <row r="68" spans="1:11" x14ac:dyDescent="0.3">
      <c r="A68" s="7">
        <v>65</v>
      </c>
      <c r="B68" s="7">
        <v>4</v>
      </c>
      <c r="C68" s="4" t="s">
        <v>9</v>
      </c>
      <c r="D68" s="9">
        <f>Parameters!C6</f>
        <v>353</v>
      </c>
      <c r="E68" s="9">
        <f>Parameters!D6</f>
        <v>941</v>
      </c>
      <c r="F68" s="9">
        <f>Parameters!E6</f>
        <v>823</v>
      </c>
      <c r="G68" s="9">
        <f>Parameters!F6</f>
        <v>235</v>
      </c>
      <c r="H68" s="9">
        <f t="shared" si="4"/>
        <v>12769</v>
      </c>
      <c r="I68" s="10">
        <f t="shared" si="5"/>
        <v>34080</v>
      </c>
      <c r="J68" s="9">
        <f t="shared" si="6"/>
        <v>34903</v>
      </c>
      <c r="K68" s="9">
        <f t="shared" si="7"/>
        <v>35138</v>
      </c>
    </row>
    <row r="69" spans="1:11" x14ac:dyDescent="0.3">
      <c r="A69" s="7">
        <v>66</v>
      </c>
      <c r="B69" s="7">
        <v>4</v>
      </c>
      <c r="C69" s="4" t="s">
        <v>9</v>
      </c>
      <c r="D69" s="9">
        <f>Parameters!C6</f>
        <v>353</v>
      </c>
      <c r="E69" s="9">
        <f>Parameters!D6</f>
        <v>941</v>
      </c>
      <c r="F69" s="9">
        <f>Parameters!E6</f>
        <v>823</v>
      </c>
      <c r="G69" s="9">
        <f>Parameters!F6</f>
        <v>235</v>
      </c>
      <c r="H69" s="9">
        <f t="shared" ref="H69:H105" si="8">H68+D69</f>
        <v>13122</v>
      </c>
      <c r="I69" s="10">
        <f t="shared" ref="I69:I100" si="9">MAX(H69,I68)+E69</f>
        <v>35021</v>
      </c>
      <c r="J69" s="9">
        <f t="shared" ref="J69:J100" si="10">MAX(I69,J68)+F69</f>
        <v>35844</v>
      </c>
      <c r="K69" s="9">
        <f t="shared" ref="K69:K100" si="11">MAX(J69,K68)+G69</f>
        <v>36079</v>
      </c>
    </row>
    <row r="70" spans="1:11" x14ac:dyDescent="0.3">
      <c r="A70" s="7">
        <v>67</v>
      </c>
      <c r="B70" s="7">
        <v>4</v>
      </c>
      <c r="C70" s="4" t="s">
        <v>9</v>
      </c>
      <c r="D70" s="9">
        <f>Parameters!C6</f>
        <v>353</v>
      </c>
      <c r="E70" s="9">
        <f>Parameters!D6</f>
        <v>941</v>
      </c>
      <c r="F70" s="9">
        <f>Parameters!E6</f>
        <v>823</v>
      </c>
      <c r="G70" s="9">
        <f>Parameters!F6</f>
        <v>235</v>
      </c>
      <c r="H70" s="9">
        <f t="shared" si="8"/>
        <v>13475</v>
      </c>
      <c r="I70" s="10">
        <f t="shared" si="9"/>
        <v>35962</v>
      </c>
      <c r="J70" s="9">
        <f t="shared" si="10"/>
        <v>36785</v>
      </c>
      <c r="K70" s="9">
        <f t="shared" si="11"/>
        <v>37020</v>
      </c>
    </row>
    <row r="71" spans="1:11" x14ac:dyDescent="0.3">
      <c r="A71" s="7">
        <v>68</v>
      </c>
      <c r="B71" s="7">
        <v>4</v>
      </c>
      <c r="C71" s="4" t="s">
        <v>9</v>
      </c>
      <c r="D71" s="9">
        <f>Parameters!C6</f>
        <v>353</v>
      </c>
      <c r="E71" s="9">
        <f>Parameters!D6</f>
        <v>941</v>
      </c>
      <c r="F71" s="9">
        <f>Parameters!E6</f>
        <v>823</v>
      </c>
      <c r="G71" s="9">
        <f>Parameters!F6</f>
        <v>235</v>
      </c>
      <c r="H71" s="9">
        <f t="shared" si="8"/>
        <v>13828</v>
      </c>
      <c r="I71" s="10">
        <f t="shared" si="9"/>
        <v>36903</v>
      </c>
      <c r="J71" s="9">
        <f t="shared" si="10"/>
        <v>37726</v>
      </c>
      <c r="K71" s="9">
        <f t="shared" si="11"/>
        <v>37961</v>
      </c>
    </row>
    <row r="72" spans="1:11" x14ac:dyDescent="0.3">
      <c r="A72" s="7">
        <v>69</v>
      </c>
      <c r="B72" s="7">
        <v>5</v>
      </c>
      <c r="C72" s="2" t="s">
        <v>7</v>
      </c>
      <c r="D72" s="9">
        <f>Parameters!C4</f>
        <v>67</v>
      </c>
      <c r="E72" s="9">
        <f>Parameters!D4</f>
        <v>178</v>
      </c>
      <c r="F72" s="9">
        <f>Parameters!E4</f>
        <v>155</v>
      </c>
      <c r="G72" s="9">
        <f>Parameters!F4</f>
        <v>44</v>
      </c>
      <c r="H72" s="9">
        <f t="shared" si="8"/>
        <v>13895</v>
      </c>
      <c r="I72" s="10">
        <f t="shared" si="9"/>
        <v>37081</v>
      </c>
      <c r="J72" s="9">
        <f t="shared" si="10"/>
        <v>37881</v>
      </c>
      <c r="K72" s="9">
        <f t="shared" si="11"/>
        <v>38005</v>
      </c>
    </row>
    <row r="73" spans="1:11" x14ac:dyDescent="0.3">
      <c r="A73" s="7">
        <v>70</v>
      </c>
      <c r="B73" s="7">
        <v>5</v>
      </c>
      <c r="C73" s="2" t="s">
        <v>7</v>
      </c>
      <c r="D73" s="9">
        <f>Parameters!C4</f>
        <v>67</v>
      </c>
      <c r="E73" s="9">
        <f>Parameters!D4</f>
        <v>178</v>
      </c>
      <c r="F73" s="9">
        <f>Parameters!E4</f>
        <v>155</v>
      </c>
      <c r="G73" s="9">
        <f>Parameters!F4</f>
        <v>44</v>
      </c>
      <c r="H73" s="9">
        <f t="shared" si="8"/>
        <v>13962</v>
      </c>
      <c r="I73" s="10">
        <f t="shared" si="9"/>
        <v>37259</v>
      </c>
      <c r="J73" s="9">
        <f t="shared" si="10"/>
        <v>38036</v>
      </c>
      <c r="K73" s="9">
        <f t="shared" si="11"/>
        <v>38080</v>
      </c>
    </row>
    <row r="74" spans="1:11" x14ac:dyDescent="0.3">
      <c r="A74" s="7">
        <v>71</v>
      </c>
      <c r="B74" s="7">
        <v>5</v>
      </c>
      <c r="C74" s="2" t="s">
        <v>7</v>
      </c>
      <c r="D74" s="9">
        <f>Parameters!C4</f>
        <v>67</v>
      </c>
      <c r="E74" s="9">
        <f>Parameters!D4</f>
        <v>178</v>
      </c>
      <c r="F74" s="9">
        <f>Parameters!E4</f>
        <v>155</v>
      </c>
      <c r="G74" s="9">
        <f>Parameters!F4</f>
        <v>44</v>
      </c>
      <c r="H74" s="9">
        <f t="shared" si="8"/>
        <v>14029</v>
      </c>
      <c r="I74" s="10">
        <f t="shared" si="9"/>
        <v>37437</v>
      </c>
      <c r="J74" s="9">
        <f t="shared" si="10"/>
        <v>38191</v>
      </c>
      <c r="K74" s="9">
        <f t="shared" si="11"/>
        <v>38235</v>
      </c>
    </row>
    <row r="75" spans="1:11" x14ac:dyDescent="0.3">
      <c r="A75" s="7">
        <v>72</v>
      </c>
      <c r="B75" s="7">
        <v>5</v>
      </c>
      <c r="C75" s="2" t="s">
        <v>7</v>
      </c>
      <c r="D75" s="9">
        <f>Parameters!C4</f>
        <v>67</v>
      </c>
      <c r="E75" s="9">
        <f>Parameters!D4</f>
        <v>178</v>
      </c>
      <c r="F75" s="9">
        <f>Parameters!E4</f>
        <v>155</v>
      </c>
      <c r="G75" s="9">
        <f>Parameters!F4</f>
        <v>44</v>
      </c>
      <c r="H75" s="9">
        <f t="shared" si="8"/>
        <v>14096</v>
      </c>
      <c r="I75" s="10">
        <f t="shared" si="9"/>
        <v>37615</v>
      </c>
      <c r="J75" s="9">
        <f t="shared" si="10"/>
        <v>38346</v>
      </c>
      <c r="K75" s="9">
        <f t="shared" si="11"/>
        <v>38390</v>
      </c>
    </row>
    <row r="76" spans="1:11" x14ac:dyDescent="0.3">
      <c r="A76" s="7">
        <v>73</v>
      </c>
      <c r="B76" s="7">
        <v>5</v>
      </c>
      <c r="C76" s="2" t="s">
        <v>7</v>
      </c>
      <c r="D76" s="9">
        <f>Parameters!C4</f>
        <v>67</v>
      </c>
      <c r="E76" s="9">
        <f>Parameters!D4</f>
        <v>178</v>
      </c>
      <c r="F76" s="9">
        <f>Parameters!E4</f>
        <v>155</v>
      </c>
      <c r="G76" s="9">
        <f>Parameters!F4</f>
        <v>44</v>
      </c>
      <c r="H76" s="9">
        <f t="shared" si="8"/>
        <v>14163</v>
      </c>
      <c r="I76" s="10">
        <f t="shared" si="9"/>
        <v>37793</v>
      </c>
      <c r="J76" s="9">
        <f t="shared" si="10"/>
        <v>38501</v>
      </c>
      <c r="K76" s="9">
        <f t="shared" si="11"/>
        <v>38545</v>
      </c>
    </row>
    <row r="77" spans="1:11" x14ac:dyDescent="0.3">
      <c r="A77" s="7">
        <v>74</v>
      </c>
      <c r="B77" s="7">
        <v>5</v>
      </c>
      <c r="C77" s="2" t="s">
        <v>7</v>
      </c>
      <c r="D77" s="9">
        <f>Parameters!C4</f>
        <v>67</v>
      </c>
      <c r="E77" s="9">
        <f>Parameters!D4</f>
        <v>178</v>
      </c>
      <c r="F77" s="9">
        <f>Parameters!E4</f>
        <v>155</v>
      </c>
      <c r="G77" s="9">
        <f>Parameters!F4</f>
        <v>44</v>
      </c>
      <c r="H77" s="9">
        <f t="shared" si="8"/>
        <v>14230</v>
      </c>
      <c r="I77" s="10">
        <f t="shared" si="9"/>
        <v>37971</v>
      </c>
      <c r="J77" s="9">
        <f t="shared" si="10"/>
        <v>38656</v>
      </c>
      <c r="K77" s="9">
        <f t="shared" si="11"/>
        <v>38700</v>
      </c>
    </row>
    <row r="78" spans="1:11" x14ac:dyDescent="0.3">
      <c r="A78" s="7">
        <v>75</v>
      </c>
      <c r="B78" s="7">
        <v>5</v>
      </c>
      <c r="C78" s="2" t="s">
        <v>7</v>
      </c>
      <c r="D78" s="9">
        <f>Parameters!C4</f>
        <v>67</v>
      </c>
      <c r="E78" s="9">
        <f>Parameters!D4</f>
        <v>178</v>
      </c>
      <c r="F78" s="9">
        <f>Parameters!E4</f>
        <v>155</v>
      </c>
      <c r="G78" s="9">
        <f>Parameters!F4</f>
        <v>44</v>
      </c>
      <c r="H78" s="9">
        <f t="shared" si="8"/>
        <v>14297</v>
      </c>
      <c r="I78" s="10">
        <f t="shared" si="9"/>
        <v>38149</v>
      </c>
      <c r="J78" s="9">
        <f t="shared" si="10"/>
        <v>38811</v>
      </c>
      <c r="K78" s="9">
        <f t="shared" si="11"/>
        <v>38855</v>
      </c>
    </row>
    <row r="79" spans="1:11" x14ac:dyDescent="0.3">
      <c r="A79" s="7">
        <v>76</v>
      </c>
      <c r="B79" s="7">
        <v>5</v>
      </c>
      <c r="C79" s="2" t="s">
        <v>7</v>
      </c>
      <c r="D79" s="9">
        <f>Parameters!C4</f>
        <v>67</v>
      </c>
      <c r="E79" s="9">
        <f>Parameters!D4</f>
        <v>178</v>
      </c>
      <c r="F79" s="9">
        <f>Parameters!E4</f>
        <v>155</v>
      </c>
      <c r="G79" s="9">
        <f>Parameters!F4</f>
        <v>44</v>
      </c>
      <c r="H79" s="9">
        <f t="shared" si="8"/>
        <v>14364</v>
      </c>
      <c r="I79" s="10">
        <f t="shared" si="9"/>
        <v>38327</v>
      </c>
      <c r="J79" s="9">
        <f t="shared" si="10"/>
        <v>38966</v>
      </c>
      <c r="K79" s="9">
        <f t="shared" si="11"/>
        <v>39010</v>
      </c>
    </row>
    <row r="80" spans="1:11" x14ac:dyDescent="0.3">
      <c r="A80" s="7">
        <v>77</v>
      </c>
      <c r="B80" s="7">
        <v>5</v>
      </c>
      <c r="C80" s="3" t="s">
        <v>8</v>
      </c>
      <c r="D80" s="9">
        <f>Parameters!C5</f>
        <v>225</v>
      </c>
      <c r="E80" s="9">
        <f>Parameters!D5</f>
        <v>599</v>
      </c>
      <c r="F80" s="9">
        <f>Parameters!E5</f>
        <v>524</v>
      </c>
      <c r="G80" s="9">
        <f>Parameters!F5</f>
        <v>150</v>
      </c>
      <c r="H80" s="9">
        <f t="shared" si="8"/>
        <v>14589</v>
      </c>
      <c r="I80" s="10">
        <f t="shared" si="9"/>
        <v>38926</v>
      </c>
      <c r="J80" s="9">
        <f t="shared" si="10"/>
        <v>39490</v>
      </c>
      <c r="K80" s="9">
        <f t="shared" si="11"/>
        <v>39640</v>
      </c>
    </row>
    <row r="81" spans="1:11" x14ac:dyDescent="0.3">
      <c r="A81" s="7">
        <v>78</v>
      </c>
      <c r="B81" s="7">
        <v>5</v>
      </c>
      <c r="C81" s="3" t="s">
        <v>8</v>
      </c>
      <c r="D81" s="9">
        <f>Parameters!C5</f>
        <v>225</v>
      </c>
      <c r="E81" s="9">
        <f>Parameters!D5</f>
        <v>599</v>
      </c>
      <c r="F81" s="9">
        <f>Parameters!E5</f>
        <v>524</v>
      </c>
      <c r="G81" s="9">
        <f>Parameters!F5</f>
        <v>150</v>
      </c>
      <c r="H81" s="9">
        <f t="shared" si="8"/>
        <v>14814</v>
      </c>
      <c r="I81" s="10">
        <f t="shared" si="9"/>
        <v>39525</v>
      </c>
      <c r="J81" s="9">
        <f t="shared" si="10"/>
        <v>40049</v>
      </c>
      <c r="K81" s="9">
        <f t="shared" si="11"/>
        <v>40199</v>
      </c>
    </row>
    <row r="82" spans="1:11" x14ac:dyDescent="0.3">
      <c r="A82" s="7">
        <v>79</v>
      </c>
      <c r="B82" s="7">
        <v>5</v>
      </c>
      <c r="C82" s="4" t="s">
        <v>9</v>
      </c>
      <c r="D82" s="9">
        <f>Parameters!C6</f>
        <v>353</v>
      </c>
      <c r="E82" s="9">
        <f>Parameters!D6</f>
        <v>941</v>
      </c>
      <c r="F82" s="9">
        <f>Parameters!E6</f>
        <v>823</v>
      </c>
      <c r="G82" s="9">
        <f>Parameters!F6</f>
        <v>235</v>
      </c>
      <c r="H82" s="9">
        <f t="shared" si="8"/>
        <v>15167</v>
      </c>
      <c r="I82" s="10">
        <f t="shared" si="9"/>
        <v>40466</v>
      </c>
      <c r="J82" s="9">
        <f t="shared" si="10"/>
        <v>41289</v>
      </c>
      <c r="K82" s="9">
        <f t="shared" si="11"/>
        <v>41524</v>
      </c>
    </row>
    <row r="83" spans="1:11" x14ac:dyDescent="0.3">
      <c r="A83" s="7">
        <v>80</v>
      </c>
      <c r="B83" s="7">
        <v>5</v>
      </c>
      <c r="C83" s="4" t="s">
        <v>9</v>
      </c>
      <c r="D83" s="9">
        <f>Parameters!C6</f>
        <v>353</v>
      </c>
      <c r="E83" s="9">
        <f>Parameters!D6</f>
        <v>941</v>
      </c>
      <c r="F83" s="9">
        <f>Parameters!E6</f>
        <v>823</v>
      </c>
      <c r="G83" s="9">
        <f>Parameters!F6</f>
        <v>235</v>
      </c>
      <c r="H83" s="9">
        <f t="shared" si="8"/>
        <v>15520</v>
      </c>
      <c r="I83" s="10">
        <f t="shared" si="9"/>
        <v>41407</v>
      </c>
      <c r="J83" s="9">
        <f t="shared" si="10"/>
        <v>42230</v>
      </c>
      <c r="K83" s="9">
        <f t="shared" si="11"/>
        <v>42465</v>
      </c>
    </row>
    <row r="84" spans="1:11" x14ac:dyDescent="0.3">
      <c r="A84" s="7">
        <v>81</v>
      </c>
      <c r="B84" s="7">
        <v>5</v>
      </c>
      <c r="C84" s="4" t="s">
        <v>9</v>
      </c>
      <c r="D84" s="9">
        <f>Parameters!C6</f>
        <v>353</v>
      </c>
      <c r="E84" s="9">
        <f>Parameters!D6</f>
        <v>941</v>
      </c>
      <c r="F84" s="9">
        <f>Parameters!E6</f>
        <v>823</v>
      </c>
      <c r="G84" s="9">
        <f>Parameters!F6</f>
        <v>235</v>
      </c>
      <c r="H84" s="9">
        <f t="shared" si="8"/>
        <v>15873</v>
      </c>
      <c r="I84" s="10">
        <f t="shared" si="9"/>
        <v>42348</v>
      </c>
      <c r="J84" s="9">
        <f t="shared" si="10"/>
        <v>43171</v>
      </c>
      <c r="K84" s="9">
        <f t="shared" si="11"/>
        <v>43406</v>
      </c>
    </row>
    <row r="85" spans="1:11" x14ac:dyDescent="0.3">
      <c r="A85" s="7">
        <v>82</v>
      </c>
      <c r="B85" s="7">
        <v>5</v>
      </c>
      <c r="C85" s="4" t="s">
        <v>9</v>
      </c>
      <c r="D85" s="9">
        <f>Parameters!C6</f>
        <v>353</v>
      </c>
      <c r="E85" s="9">
        <f>Parameters!D6</f>
        <v>941</v>
      </c>
      <c r="F85" s="9">
        <f>Parameters!E6</f>
        <v>823</v>
      </c>
      <c r="G85" s="9">
        <f>Parameters!F6</f>
        <v>235</v>
      </c>
      <c r="H85" s="9">
        <f t="shared" si="8"/>
        <v>16226</v>
      </c>
      <c r="I85" s="10">
        <f t="shared" si="9"/>
        <v>43289</v>
      </c>
      <c r="J85" s="9">
        <f t="shared" si="10"/>
        <v>44112</v>
      </c>
      <c r="K85" s="9">
        <f t="shared" si="11"/>
        <v>44347</v>
      </c>
    </row>
    <row r="86" spans="1:11" x14ac:dyDescent="0.3">
      <c r="A86" s="7">
        <v>83</v>
      </c>
      <c r="B86" s="7">
        <v>5</v>
      </c>
      <c r="C86" s="4" t="s">
        <v>9</v>
      </c>
      <c r="D86" s="9">
        <f>Parameters!C6</f>
        <v>353</v>
      </c>
      <c r="E86" s="9">
        <f>Parameters!D6</f>
        <v>941</v>
      </c>
      <c r="F86" s="9">
        <f>Parameters!E6</f>
        <v>823</v>
      </c>
      <c r="G86" s="9">
        <f>Parameters!F6</f>
        <v>235</v>
      </c>
      <c r="H86" s="9">
        <f t="shared" si="8"/>
        <v>16579</v>
      </c>
      <c r="I86" s="10">
        <f t="shared" si="9"/>
        <v>44230</v>
      </c>
      <c r="J86" s="9">
        <f t="shared" si="10"/>
        <v>45053</v>
      </c>
      <c r="K86" s="9">
        <f t="shared" si="11"/>
        <v>45288</v>
      </c>
    </row>
    <row r="87" spans="1:11" x14ac:dyDescent="0.3">
      <c r="A87" s="7">
        <v>84</v>
      </c>
      <c r="B87" s="7">
        <v>5</v>
      </c>
      <c r="C87" s="4" t="s">
        <v>9</v>
      </c>
      <c r="D87" s="9">
        <f>Parameters!C6</f>
        <v>353</v>
      </c>
      <c r="E87" s="9">
        <f>Parameters!D6</f>
        <v>941</v>
      </c>
      <c r="F87" s="9">
        <f>Parameters!E6</f>
        <v>823</v>
      </c>
      <c r="G87" s="9">
        <f>Parameters!F6</f>
        <v>235</v>
      </c>
      <c r="H87" s="9">
        <f t="shared" si="8"/>
        <v>16932</v>
      </c>
      <c r="I87" s="10">
        <f t="shared" si="9"/>
        <v>45171</v>
      </c>
      <c r="J87" s="9">
        <f t="shared" si="10"/>
        <v>45994</v>
      </c>
      <c r="K87" s="9">
        <f t="shared" si="11"/>
        <v>46229</v>
      </c>
    </row>
    <row r="88" spans="1:11" x14ac:dyDescent="0.3">
      <c r="A88" s="7">
        <v>85</v>
      </c>
      <c r="B88" s="7">
        <v>5</v>
      </c>
      <c r="C88" s="4" t="s">
        <v>9</v>
      </c>
      <c r="D88" s="9">
        <f>Parameters!C6</f>
        <v>353</v>
      </c>
      <c r="E88" s="9">
        <f>Parameters!D6</f>
        <v>941</v>
      </c>
      <c r="F88" s="9">
        <f>Parameters!E6</f>
        <v>823</v>
      </c>
      <c r="G88" s="9">
        <f>Parameters!F6</f>
        <v>235</v>
      </c>
      <c r="H88" s="9">
        <f t="shared" si="8"/>
        <v>17285</v>
      </c>
      <c r="I88" s="10">
        <f t="shared" si="9"/>
        <v>46112</v>
      </c>
      <c r="J88" s="9">
        <f t="shared" si="10"/>
        <v>46935</v>
      </c>
      <c r="K88" s="9">
        <f t="shared" si="11"/>
        <v>47170</v>
      </c>
    </row>
    <row r="89" spans="1:11" x14ac:dyDescent="0.3">
      <c r="A89" s="7">
        <v>86</v>
      </c>
      <c r="B89" s="7">
        <v>6</v>
      </c>
      <c r="C89" s="2" t="s">
        <v>7</v>
      </c>
      <c r="D89" s="9">
        <f>Parameters!C4</f>
        <v>67</v>
      </c>
      <c r="E89" s="9">
        <f>Parameters!D4</f>
        <v>178</v>
      </c>
      <c r="F89" s="9">
        <f>Parameters!E4</f>
        <v>155</v>
      </c>
      <c r="G89" s="9">
        <f>Parameters!F4</f>
        <v>44</v>
      </c>
      <c r="H89" s="9">
        <f t="shared" si="8"/>
        <v>17352</v>
      </c>
      <c r="I89" s="10">
        <f t="shared" si="9"/>
        <v>46290</v>
      </c>
      <c r="J89" s="9">
        <f t="shared" si="10"/>
        <v>47090</v>
      </c>
      <c r="K89" s="9">
        <f t="shared" si="11"/>
        <v>47214</v>
      </c>
    </row>
    <row r="90" spans="1:11" x14ac:dyDescent="0.3">
      <c r="A90" s="7">
        <v>87</v>
      </c>
      <c r="B90" s="7">
        <v>6</v>
      </c>
      <c r="C90" s="2" t="s">
        <v>7</v>
      </c>
      <c r="D90" s="9">
        <f>Parameters!C4</f>
        <v>67</v>
      </c>
      <c r="E90" s="9">
        <f>Parameters!D4</f>
        <v>178</v>
      </c>
      <c r="F90" s="9">
        <f>Parameters!E4</f>
        <v>155</v>
      </c>
      <c r="G90" s="9">
        <f>Parameters!F4</f>
        <v>44</v>
      </c>
      <c r="H90" s="9">
        <f t="shared" si="8"/>
        <v>17419</v>
      </c>
      <c r="I90" s="10">
        <f t="shared" si="9"/>
        <v>46468</v>
      </c>
      <c r="J90" s="9">
        <f t="shared" si="10"/>
        <v>47245</v>
      </c>
      <c r="K90" s="9">
        <f t="shared" si="11"/>
        <v>47289</v>
      </c>
    </row>
    <row r="91" spans="1:11" x14ac:dyDescent="0.3">
      <c r="A91" s="7">
        <v>88</v>
      </c>
      <c r="B91" s="7">
        <v>6</v>
      </c>
      <c r="C91" s="2" t="s">
        <v>7</v>
      </c>
      <c r="D91" s="9">
        <f>Parameters!C4</f>
        <v>67</v>
      </c>
      <c r="E91" s="9">
        <f>Parameters!D4</f>
        <v>178</v>
      </c>
      <c r="F91" s="9">
        <f>Parameters!E4</f>
        <v>155</v>
      </c>
      <c r="G91" s="9">
        <f>Parameters!F4</f>
        <v>44</v>
      </c>
      <c r="H91" s="9">
        <f t="shared" si="8"/>
        <v>17486</v>
      </c>
      <c r="I91" s="10">
        <f t="shared" si="9"/>
        <v>46646</v>
      </c>
      <c r="J91" s="9">
        <f t="shared" si="10"/>
        <v>47400</v>
      </c>
      <c r="K91" s="9">
        <f t="shared" si="11"/>
        <v>47444</v>
      </c>
    </row>
    <row r="92" spans="1:11" x14ac:dyDescent="0.3">
      <c r="A92" s="7">
        <v>89</v>
      </c>
      <c r="B92" s="7">
        <v>6</v>
      </c>
      <c r="C92" s="2" t="s">
        <v>7</v>
      </c>
      <c r="D92" s="9">
        <f>Parameters!C4</f>
        <v>67</v>
      </c>
      <c r="E92" s="9">
        <f>Parameters!D4</f>
        <v>178</v>
      </c>
      <c r="F92" s="9">
        <f>Parameters!E4</f>
        <v>155</v>
      </c>
      <c r="G92" s="9">
        <f>Parameters!F4</f>
        <v>44</v>
      </c>
      <c r="H92" s="9">
        <f t="shared" si="8"/>
        <v>17553</v>
      </c>
      <c r="I92" s="10">
        <f t="shared" si="9"/>
        <v>46824</v>
      </c>
      <c r="J92" s="9">
        <f t="shared" si="10"/>
        <v>47555</v>
      </c>
      <c r="K92" s="9">
        <f t="shared" si="11"/>
        <v>47599</v>
      </c>
    </row>
    <row r="93" spans="1:11" x14ac:dyDescent="0.3">
      <c r="A93" s="7">
        <v>90</v>
      </c>
      <c r="B93" s="7">
        <v>6</v>
      </c>
      <c r="C93" s="2" t="s">
        <v>7</v>
      </c>
      <c r="D93" s="9">
        <f>Parameters!C4</f>
        <v>67</v>
      </c>
      <c r="E93" s="9">
        <f>Parameters!D4</f>
        <v>178</v>
      </c>
      <c r="F93" s="9">
        <f>Parameters!E4</f>
        <v>155</v>
      </c>
      <c r="G93" s="9">
        <f>Parameters!F4</f>
        <v>44</v>
      </c>
      <c r="H93" s="9">
        <f t="shared" si="8"/>
        <v>17620</v>
      </c>
      <c r="I93" s="10">
        <f t="shared" si="9"/>
        <v>47002</v>
      </c>
      <c r="J93" s="9">
        <f t="shared" si="10"/>
        <v>47710</v>
      </c>
      <c r="K93" s="9">
        <f t="shared" si="11"/>
        <v>47754</v>
      </c>
    </row>
    <row r="94" spans="1:11" x14ac:dyDescent="0.3">
      <c r="A94" s="7">
        <v>91</v>
      </c>
      <c r="B94" s="7">
        <v>6</v>
      </c>
      <c r="C94" s="2" t="s">
        <v>7</v>
      </c>
      <c r="D94" s="9">
        <f>Parameters!C4</f>
        <v>67</v>
      </c>
      <c r="E94" s="9">
        <f>Parameters!D4</f>
        <v>178</v>
      </c>
      <c r="F94" s="9">
        <f>Parameters!E4</f>
        <v>155</v>
      </c>
      <c r="G94" s="9">
        <f>Parameters!F4</f>
        <v>44</v>
      </c>
      <c r="H94" s="9">
        <f t="shared" si="8"/>
        <v>17687</v>
      </c>
      <c r="I94" s="10">
        <f t="shared" si="9"/>
        <v>47180</v>
      </c>
      <c r="J94" s="9">
        <f t="shared" si="10"/>
        <v>47865</v>
      </c>
      <c r="K94" s="9">
        <f t="shared" si="11"/>
        <v>47909</v>
      </c>
    </row>
    <row r="95" spans="1:11" x14ac:dyDescent="0.3">
      <c r="A95" s="7">
        <v>92</v>
      </c>
      <c r="B95" s="7">
        <v>6</v>
      </c>
      <c r="C95" s="2" t="s">
        <v>7</v>
      </c>
      <c r="D95" s="9">
        <f>Parameters!C4</f>
        <v>67</v>
      </c>
      <c r="E95" s="9">
        <f>Parameters!D4</f>
        <v>178</v>
      </c>
      <c r="F95" s="9">
        <f>Parameters!E4</f>
        <v>155</v>
      </c>
      <c r="G95" s="9">
        <f>Parameters!F4</f>
        <v>44</v>
      </c>
      <c r="H95" s="9">
        <f t="shared" si="8"/>
        <v>17754</v>
      </c>
      <c r="I95" s="10">
        <f t="shared" si="9"/>
        <v>47358</v>
      </c>
      <c r="J95" s="9">
        <f t="shared" si="10"/>
        <v>48020</v>
      </c>
      <c r="K95" s="9">
        <f t="shared" si="11"/>
        <v>48064</v>
      </c>
    </row>
    <row r="96" spans="1:11" x14ac:dyDescent="0.3">
      <c r="A96" s="7">
        <v>93</v>
      </c>
      <c r="B96" s="7">
        <v>6</v>
      </c>
      <c r="C96" s="2" t="s">
        <v>7</v>
      </c>
      <c r="D96" s="9">
        <f>Parameters!C4</f>
        <v>67</v>
      </c>
      <c r="E96" s="9">
        <f>Parameters!D4</f>
        <v>178</v>
      </c>
      <c r="F96" s="9">
        <f>Parameters!E4</f>
        <v>155</v>
      </c>
      <c r="G96" s="9">
        <f>Parameters!F4</f>
        <v>44</v>
      </c>
      <c r="H96" s="9">
        <f t="shared" si="8"/>
        <v>17821</v>
      </c>
      <c r="I96" s="10">
        <f t="shared" si="9"/>
        <v>47536</v>
      </c>
      <c r="J96" s="9">
        <f t="shared" si="10"/>
        <v>48175</v>
      </c>
      <c r="K96" s="9">
        <f t="shared" si="11"/>
        <v>48219</v>
      </c>
    </row>
    <row r="97" spans="1:11" x14ac:dyDescent="0.3">
      <c r="A97" s="7">
        <v>94</v>
      </c>
      <c r="B97" s="7">
        <v>6</v>
      </c>
      <c r="C97" s="3" t="s">
        <v>8</v>
      </c>
      <c r="D97" s="9">
        <f>Parameters!C5</f>
        <v>225</v>
      </c>
      <c r="E97" s="9">
        <f>Parameters!D5</f>
        <v>599</v>
      </c>
      <c r="F97" s="9">
        <f>Parameters!E5</f>
        <v>524</v>
      </c>
      <c r="G97" s="9">
        <f>Parameters!F5</f>
        <v>150</v>
      </c>
      <c r="H97" s="9">
        <f t="shared" si="8"/>
        <v>18046</v>
      </c>
      <c r="I97" s="10">
        <f t="shared" si="9"/>
        <v>48135</v>
      </c>
      <c r="J97" s="9">
        <f t="shared" si="10"/>
        <v>48699</v>
      </c>
      <c r="K97" s="9">
        <f t="shared" si="11"/>
        <v>48849</v>
      </c>
    </row>
    <row r="98" spans="1:11" x14ac:dyDescent="0.3">
      <c r="A98" s="7">
        <v>95</v>
      </c>
      <c r="B98" s="7">
        <v>6</v>
      </c>
      <c r="C98" s="3" t="s">
        <v>8</v>
      </c>
      <c r="D98" s="9">
        <f>Parameters!C5</f>
        <v>225</v>
      </c>
      <c r="E98" s="9">
        <f>Parameters!D5</f>
        <v>599</v>
      </c>
      <c r="F98" s="9">
        <f>Parameters!E5</f>
        <v>524</v>
      </c>
      <c r="G98" s="9">
        <f>Parameters!F5</f>
        <v>150</v>
      </c>
      <c r="H98" s="9">
        <f t="shared" si="8"/>
        <v>18271</v>
      </c>
      <c r="I98" s="10">
        <f t="shared" si="9"/>
        <v>48734</v>
      </c>
      <c r="J98" s="9">
        <f t="shared" si="10"/>
        <v>49258</v>
      </c>
      <c r="K98" s="9">
        <f t="shared" si="11"/>
        <v>49408</v>
      </c>
    </row>
    <row r="99" spans="1:11" x14ac:dyDescent="0.3">
      <c r="A99" s="7">
        <v>96</v>
      </c>
      <c r="B99" s="7">
        <v>6</v>
      </c>
      <c r="C99" s="4" t="s">
        <v>9</v>
      </c>
      <c r="D99" s="9">
        <f>Parameters!C6</f>
        <v>353</v>
      </c>
      <c r="E99" s="9">
        <f>Parameters!D6</f>
        <v>941</v>
      </c>
      <c r="F99" s="9">
        <f>Parameters!E6</f>
        <v>823</v>
      </c>
      <c r="G99" s="9">
        <f>Parameters!F6</f>
        <v>235</v>
      </c>
      <c r="H99" s="9">
        <f t="shared" si="8"/>
        <v>18624</v>
      </c>
      <c r="I99" s="10">
        <f t="shared" si="9"/>
        <v>49675</v>
      </c>
      <c r="J99" s="9">
        <f t="shared" si="10"/>
        <v>50498</v>
      </c>
      <c r="K99" s="9">
        <f t="shared" si="11"/>
        <v>50733</v>
      </c>
    </row>
    <row r="100" spans="1:11" x14ac:dyDescent="0.3">
      <c r="A100" s="7">
        <v>97</v>
      </c>
      <c r="B100" s="7">
        <v>6</v>
      </c>
      <c r="C100" s="4" t="s">
        <v>9</v>
      </c>
      <c r="D100" s="9">
        <f>Parameters!C6</f>
        <v>353</v>
      </c>
      <c r="E100" s="9">
        <f>Parameters!D6</f>
        <v>941</v>
      </c>
      <c r="F100" s="9">
        <f>Parameters!E6</f>
        <v>823</v>
      </c>
      <c r="G100" s="9">
        <f>Parameters!F6</f>
        <v>235</v>
      </c>
      <c r="H100" s="9">
        <f t="shared" si="8"/>
        <v>18977</v>
      </c>
      <c r="I100" s="10">
        <f t="shared" si="9"/>
        <v>50616</v>
      </c>
      <c r="J100" s="9">
        <f t="shared" si="10"/>
        <v>51439</v>
      </c>
      <c r="K100" s="9">
        <f t="shared" si="11"/>
        <v>51674</v>
      </c>
    </row>
    <row r="101" spans="1:11" x14ac:dyDescent="0.3">
      <c r="A101" s="7">
        <v>98</v>
      </c>
      <c r="B101" s="7">
        <v>6</v>
      </c>
      <c r="C101" s="4" t="s">
        <v>9</v>
      </c>
      <c r="D101" s="9">
        <f>Parameters!C6</f>
        <v>353</v>
      </c>
      <c r="E101" s="9">
        <f>Parameters!D6</f>
        <v>941</v>
      </c>
      <c r="F101" s="9">
        <f>Parameters!E6</f>
        <v>823</v>
      </c>
      <c r="G101" s="9">
        <f>Parameters!F6</f>
        <v>235</v>
      </c>
      <c r="H101" s="9">
        <f t="shared" si="8"/>
        <v>19330</v>
      </c>
      <c r="I101" s="10">
        <f t="shared" ref="I101:I105" si="12">MAX(H101,I100)+E101</f>
        <v>51557</v>
      </c>
      <c r="J101" s="9">
        <f t="shared" ref="J101:J105" si="13">MAX(I101,J100)+F101</f>
        <v>52380</v>
      </c>
      <c r="K101" s="9">
        <f t="shared" ref="K101:K105" si="14">MAX(J101,K100)+G101</f>
        <v>52615</v>
      </c>
    </row>
    <row r="102" spans="1:11" x14ac:dyDescent="0.3">
      <c r="A102" s="7">
        <v>99</v>
      </c>
      <c r="B102" s="7">
        <v>6</v>
      </c>
      <c r="C102" s="4" t="s">
        <v>9</v>
      </c>
      <c r="D102" s="9">
        <f>Parameters!C6</f>
        <v>353</v>
      </c>
      <c r="E102" s="9">
        <f>Parameters!D6</f>
        <v>941</v>
      </c>
      <c r="F102" s="9">
        <f>Parameters!E6</f>
        <v>823</v>
      </c>
      <c r="G102" s="9">
        <f>Parameters!F6</f>
        <v>235</v>
      </c>
      <c r="H102" s="9">
        <f t="shared" si="8"/>
        <v>19683</v>
      </c>
      <c r="I102" s="10">
        <f t="shared" si="12"/>
        <v>52498</v>
      </c>
      <c r="J102" s="9">
        <f t="shared" si="13"/>
        <v>53321</v>
      </c>
      <c r="K102" s="9">
        <f t="shared" si="14"/>
        <v>53556</v>
      </c>
    </row>
    <row r="103" spans="1:11" x14ac:dyDescent="0.3">
      <c r="A103" s="7">
        <v>100</v>
      </c>
      <c r="B103" s="7">
        <v>6</v>
      </c>
      <c r="C103" s="4" t="s">
        <v>9</v>
      </c>
      <c r="D103" s="9">
        <f>Parameters!C6</f>
        <v>353</v>
      </c>
      <c r="E103" s="9">
        <f>Parameters!D6</f>
        <v>941</v>
      </c>
      <c r="F103" s="9">
        <f>Parameters!E6</f>
        <v>823</v>
      </c>
      <c r="G103" s="9">
        <f>Parameters!F6</f>
        <v>235</v>
      </c>
      <c r="H103" s="9">
        <f t="shared" si="8"/>
        <v>20036</v>
      </c>
      <c r="I103" s="10">
        <f t="shared" si="12"/>
        <v>53439</v>
      </c>
      <c r="J103" s="9">
        <f t="shared" si="13"/>
        <v>54262</v>
      </c>
      <c r="K103" s="9">
        <f t="shared" si="14"/>
        <v>54497</v>
      </c>
    </row>
    <row r="104" spans="1:11" x14ac:dyDescent="0.3">
      <c r="A104" s="7">
        <v>101</v>
      </c>
      <c r="B104" s="7">
        <v>6</v>
      </c>
      <c r="C104" s="4" t="s">
        <v>9</v>
      </c>
      <c r="D104" s="9">
        <f>Parameters!C6</f>
        <v>353</v>
      </c>
      <c r="E104" s="9">
        <f>Parameters!D6</f>
        <v>941</v>
      </c>
      <c r="F104" s="9">
        <f>Parameters!E6</f>
        <v>823</v>
      </c>
      <c r="G104" s="9">
        <f>Parameters!F6</f>
        <v>235</v>
      </c>
      <c r="H104" s="9">
        <f t="shared" si="8"/>
        <v>20389</v>
      </c>
      <c r="I104" s="10">
        <f t="shared" si="12"/>
        <v>54380</v>
      </c>
      <c r="J104" s="9">
        <f t="shared" si="13"/>
        <v>55203</v>
      </c>
      <c r="K104" s="9">
        <f t="shared" si="14"/>
        <v>55438</v>
      </c>
    </row>
    <row r="105" spans="1:11" x14ac:dyDescent="0.3">
      <c r="A105" s="7">
        <v>102</v>
      </c>
      <c r="B105" s="7">
        <v>6</v>
      </c>
      <c r="C105" s="4" t="s">
        <v>9</v>
      </c>
      <c r="D105" s="9">
        <f>Parameters!C6</f>
        <v>353</v>
      </c>
      <c r="E105" s="9">
        <f>Parameters!D6</f>
        <v>941</v>
      </c>
      <c r="F105" s="9">
        <f>Parameters!E6</f>
        <v>823</v>
      </c>
      <c r="G105" s="9">
        <f>Parameters!F6</f>
        <v>235</v>
      </c>
      <c r="H105" s="9">
        <f t="shared" si="8"/>
        <v>20742</v>
      </c>
      <c r="I105" s="10">
        <f t="shared" si="12"/>
        <v>55321</v>
      </c>
      <c r="J105" s="9">
        <f t="shared" si="13"/>
        <v>56144</v>
      </c>
      <c r="K105" s="9">
        <f t="shared" si="14"/>
        <v>56379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Ord1_8A-2B-7C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Khuzundar</cp:lastModifiedBy>
  <cp:revision>0</cp:revision>
  <dcterms:created xsi:type="dcterms:W3CDTF">2026-06-11T14:42:04Z</dcterms:created>
  <dcterms:modified xsi:type="dcterms:W3CDTF">2026-07-31T16:34:27Z</dcterms:modified>
  <dc:language>en-US</dc:language>
</cp:coreProperties>
</file>